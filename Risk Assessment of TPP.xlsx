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Assessment" sheetId="1" r:id="rId4"/>
    <sheet state="visible" name="SLTS" sheetId="2" r:id="rId5"/>
    <sheet state="hidden" name="Sheet16" sheetId="3" r:id="rId6"/>
    <sheet state="hidden" name="Historian" sheetId="4" r:id="rId7"/>
    <sheet state="hidden" name="Control Server" sheetId="5" r:id="rId8"/>
    <sheet state="hidden" name="Data Flow" sheetId="6" r:id="rId9"/>
  </sheets>
  <definedNames/>
  <calcPr/>
</workbook>
</file>

<file path=xl/sharedStrings.xml><?xml version="1.0" encoding="utf-8"?>
<sst xmlns="http://schemas.openxmlformats.org/spreadsheetml/2006/main" count="582" uniqueCount="312">
  <si>
    <t>Sr.No</t>
  </si>
  <si>
    <t>Asset</t>
  </si>
  <si>
    <t>Threat</t>
  </si>
  <si>
    <t>Consequence</t>
  </si>
  <si>
    <t>Impact</t>
  </si>
  <si>
    <t>Likelihood</t>
  </si>
  <si>
    <t>Unmitiagted Risk</t>
  </si>
  <si>
    <t>SL-T</t>
  </si>
  <si>
    <t>Countermeasures</t>
  </si>
  <si>
    <t>Likelihood After Mitigation</t>
  </si>
  <si>
    <t>Bussiness (Reputation)</t>
  </si>
  <si>
    <t xml:space="preserve">Operational (Loss of Data) </t>
  </si>
  <si>
    <t>Financial (Operational Disruption)</t>
  </si>
  <si>
    <t>Safety 
(Physical Harm)</t>
  </si>
  <si>
    <t>Environmental Impact</t>
  </si>
  <si>
    <t>Final 
Impact</t>
  </si>
  <si>
    <t>Asset Exposure Index</t>
  </si>
  <si>
    <t>Threat Exploitation feasibiity</t>
  </si>
  <si>
    <t xml:space="preserve">Unmitiagted Threat Liklihood </t>
  </si>
  <si>
    <t>Mitigeted Threat Likelhood</t>
  </si>
  <si>
    <t>Mit risk</t>
  </si>
  <si>
    <t>Operator Server</t>
  </si>
  <si>
    <t>Acting as a Rogue Master in Operator Server 1</t>
  </si>
  <si>
    <t>An attackers device pretends to be a master controller on the network. This can be used to send unauthorized commands and override legitimate control logic.</t>
  </si>
  <si>
    <t>Restricted Access</t>
  </si>
  <si>
    <t>Extreme High</t>
  </si>
  <si>
    <t>Host-based allowlists; restrict masters; authentication and authorization for masters; monitor masters.</t>
  </si>
  <si>
    <t>Highly Restricted</t>
  </si>
  <si>
    <t>Low</t>
  </si>
  <si>
    <t>SL Levels</t>
  </si>
  <si>
    <t>Threats counts</t>
  </si>
  <si>
    <t>PLC</t>
  </si>
  <si>
    <t>Activating Firmware Update Mode Abuse in PLC 1</t>
  </si>
  <si>
    <t>An attacker forces a device into its firmware update state. This can be used to install malicious firmware or disable the device entirely.</t>
  </si>
  <si>
    <t>Restrict update modes to authenticated/authorized hosts; signed update packages; physical controls.</t>
  </si>
  <si>
    <t>Completely Isolated</t>
  </si>
  <si>
    <t>Authentication Bypass By Message Replay</t>
  </si>
  <si>
    <t>An attacker can capture and replay a legitimate authentication message. This can be used to bypass authentication and gain unauthorized access.</t>
  </si>
  <si>
    <t>Easily Accessible</t>
  </si>
  <si>
    <t>High</t>
  </si>
  <si>
    <t>Harden auth flows; secure credential storage; enforce MFA; log changes.</t>
  </si>
  <si>
    <t>Causing Denial of Control over Operator Server 1</t>
  </si>
  <si>
    <t>The attacker takes control of the system away from the legitimate user. This is a direct consequence of a successful attack on an ICS.</t>
  </si>
  <si>
    <t>Same as Loss of Control â€” authentication, redundancy, monitoring.</t>
  </si>
  <si>
    <t>Causing Denial of Service for Web Server in PLC 1</t>
  </si>
  <si>
    <t>An attacker floods a web server with traffic, making it unavailable. This can be used to prevent operators from accessing critical management interfaces.</t>
  </si>
  <si>
    <t>Rate-limiting, WAF, patching, web server hardening, upstream DDoS protection.</t>
  </si>
  <si>
    <t>Medium</t>
  </si>
  <si>
    <t>Causing loss of Productivity and Revenue in Operator Server 1</t>
  </si>
  <si>
    <t>The business impact of a successful attack. This is a consequence of a loss of availability or control.</t>
  </si>
  <si>
    <t>Business continuity planning; backups; rapid incident response.</t>
  </si>
  <si>
    <t>Changing Credentials to escalate privileges in Operator Server 1</t>
  </si>
  <si>
    <t>An attacker forces a change in a device's credentials. This can lock out legitimate users, granting the attacker exclusive access.</t>
  </si>
  <si>
    <t>Credential management policies; MFA; authenticated admin channels; audit trails.</t>
  </si>
  <si>
    <t>Changing Operating Mode in PLC 1</t>
  </si>
  <si>
    <t>An attacker changes the operational mode of a device. This can be used to take a device offline, put it in a maintenance state, or disable safety functions.</t>
  </si>
  <si>
    <t>Enforce authentication &amp; authorization for mode changes; audit &amp; alerts; confirm through secure channels.</t>
  </si>
  <si>
    <t>Communicating over a Commonly Used Port to evade detection in Operator Server 1</t>
  </si>
  <si>
    <t>Using a known port can lead to unauthorized access. This allows an attacker to bypass firewalls and security controls, initiating further attacks.</t>
  </si>
  <si>
    <t>Restrict/monitor ports; firewall/ACLs; network segmentation; block unused services.</t>
  </si>
  <si>
    <t>Conducting a Denial-of-Service attack against Operator Server 1</t>
  </si>
  <si>
    <t>An attack designed to make a device or service unavailable. This can be achieved by flooding it with traffic or exploiting a vulnerability that causes it to crash.</t>
  </si>
  <si>
    <t>Rate-limiting, ACLs, network filtering, DDoS protections, upstream mitigation.</t>
  </si>
  <si>
    <t>Credential Change Mechanism Can Be Abused</t>
  </si>
  <si>
    <t>A flaw in the process for changing credentials can be exploited by an attacker. This can be used to change a password and lock out a legitimate user.</t>
  </si>
  <si>
    <t>Harden credential change flows with auth, logging, approval workflows.</t>
  </si>
  <si>
    <t>Critical System Service May Be Disabled</t>
  </si>
  <si>
    <t>An attacker can disable a critical system service. This can cause a denial of service, halt a process, and lead to a loss of productivity.</t>
  </si>
  <si>
    <t>Monitor &amp; guard critical services; restrict who can stop services; watchdogs.</t>
  </si>
  <si>
    <t>Device leaks security information in logs</t>
  </si>
  <si>
    <t>A device logs sensitive security information, such as passwords or cryptographic keys. This information can be used by an attacker to compromise the device.</t>
  </si>
  <si>
    <t>Redact sensitive info; secure log storage &amp; transport; restrict log access.</t>
  </si>
  <si>
    <t>Enumerating Network Connections for reconnaissance in Operator Server 1</t>
  </si>
  <si>
    <t>An attacker lists all active network connections. This helps them understand what devices are communicating with each other and where they might be able to intercept traffic.</t>
  </si>
  <si>
    <t>Restrict/monitor net tools; host-based controls; disable unnecessary services.</t>
  </si>
  <si>
    <t>Exploited Remote services in Operator Server 1</t>
  </si>
  <si>
    <t>An attacker finds a vulnerability in a service that can be accessed from a distance. This can allow an attacker to gain unauthorized access to the network or a device.</t>
  </si>
  <si>
    <t>Limit exposure; patching/segmentation; MFA; monitor remote activity.</t>
  </si>
  <si>
    <t>Firewall</t>
  </si>
  <si>
    <t>Exploiting a Public-Facing Application to compromise Firewall</t>
  </si>
  <si>
    <t>An attacker takes advantage of a security flaw in a publicly accessible application. This can be used to gain unauthorized access to a network or system from the internet.</t>
  </si>
  <si>
    <t>Patch management; WAF; input validation; reduce exposure (disable test endpoints).</t>
  </si>
  <si>
    <t>Exploiting Code Flaws for unauthorized access to PLC 1</t>
  </si>
  <si>
    <t>An attacker finds and exploits a weakness in a program's code. This can lead to remote code execution, privilege escalation, and system compromise.</t>
  </si>
  <si>
    <t>Secure SDLC; patching; static &amp; dynamic analysis; fuzzing; vulnerability scanning.</t>
  </si>
  <si>
    <t>Exploiting external Remote Services in Operator Server 1</t>
  </si>
  <si>
    <t>A service that is exposed to the internet is a prime target for an attacker. This can provide them with a direct path to the internal network.</t>
  </si>
  <si>
    <t>Limit remote services exposure; enforce MFA; strong config and patching.</t>
  </si>
  <si>
    <t>Exploiting Firmware Updates to inject malicious code into PLC 1</t>
  </si>
  <si>
    <t>An attacker exploits a vulnerability in a device's firmware update process. This can be used to install malicious firmware or disable the device.</t>
  </si>
  <si>
    <t>Critical</t>
  </si>
  <si>
    <t>Exploiting Remote Services in Operator Server 1</t>
  </si>
  <si>
    <t>Layer 2 Switch</t>
  </si>
  <si>
    <t>Exploiting weaknesses for Evasion within Layer 2 Switch</t>
  </si>
  <si>
    <t>An attacker uses a vulnerability to bypass security controls. This allows them to avoid detection and execute their malicious payload.</t>
  </si>
  <si>
    <t>Defense-in-depth; behavioral analytics; integrity checks; restrict features misuse.</t>
  </si>
  <si>
    <t>Gaining access through Default Credentials in Operator Server 1</t>
  </si>
  <si>
    <t>Leaving factory-set usernames and passwords unchanged is a major vulnerability. It allows an attacker to log in without any hacking, gaining full control.</t>
  </si>
  <si>
    <t>Enforce device provisioning with unique default removal; password policies; disable factory accounts.</t>
  </si>
  <si>
    <t>Gathering Remote System Information about Firewall</t>
  </si>
  <si>
    <t>An attacker collects detailed information about a remote system. This includes its operating system, open ports, and running services, all of which are useful for planning an attack.</t>
  </si>
  <si>
    <t>Network segmentation; limit discovery responses; restrict tools; network allowlists; least privilege &amp; endpoint hardening.</t>
  </si>
  <si>
    <t>HTTP Application Session Hijacking</t>
  </si>
  <si>
    <t>An attacker steals a user's session ID. This allows them to impersonate the user and perform unauthorized actions.</t>
  </si>
  <si>
    <t>Secure sessions (cookie flags, short lifetime), TLS, session invalidation on logout.</t>
  </si>
  <si>
    <t>Identifying Points &amp; Tags for manipulation in Operator Server 1</t>
  </si>
  <si>
    <t>An attacker identifies the specific points and tags used in an industrial control system. This is a crucial step in an attack, as it allows them to target specific physical devices.</t>
  </si>
  <si>
    <t>Restrict protocol discovery; host-based allowlists; reduce unnecessary protocol exposure.</t>
  </si>
  <si>
    <t>Incorrect Certificate Verification Allows Authentication Bypass</t>
  </si>
  <si>
    <t>A device fails to properly verify a digital certificate. This can allow an attacker to impersonate a legitimate device or service.</t>
  </si>
  <si>
    <t>Enforce certificate validation; pinning where appropriate; secure TLS config.</t>
  </si>
  <si>
    <t>Leveraging a Command-Line Interface for attacks on Operator Server 1</t>
  </si>
  <si>
    <t>An attacker uses the command line to perform an attack. This can be a powerful way to execute commands and manipulate a device.</t>
  </si>
  <si>
    <t>Restrict CLI access with RBAC &amp; MFA; audit CLI commands; allowlist.</t>
  </si>
  <si>
    <t>Logs can be manipulated on the device</t>
  </si>
  <si>
    <t>An attacker can alter or delete log files on a device. This can be used to cover their tracks and make it difficult to investigate an attack.</t>
  </si>
  <si>
    <t>Send logs to remote collector; immutable logging; integrity checks; tamper-evident logs.</t>
  </si>
  <si>
    <t>Manipulating Control for unauthorized actions in Operator Server 1</t>
  </si>
  <si>
    <t>an attacker taking over control of a system. This can lead to a loss of safety, productivity, and revenue.</t>
  </si>
  <si>
    <t>Command authentication; operator confirmation; redundant safety checks.</t>
  </si>
  <si>
    <t>Manipulating I/O Position for malicious control of PLC 1</t>
  </si>
  <si>
    <t>An attacker sends a false position reading to a system. This can be used to deceive the operator and cause the system to operate incorrectly.</t>
  </si>
  <si>
    <t>Sensor/data validation; signed telemetry; redundancy and plausibility checks.</t>
  </si>
  <si>
    <t>Manipulating Network Parameters to disrupt communication for PLC 1</t>
  </si>
  <si>
    <t>An attacker changes the network settings of a device. This can be used to redirect traffic, isolate a device, or cause a denial of service.</t>
  </si>
  <si>
    <t>Secure configuration; auth for config changes; ACLs/firewalls; monitor network changes.</t>
  </si>
  <si>
    <t>Missing Message Replay Protection</t>
  </si>
  <si>
    <t>A device does not have protection against message replay attacks. This can allow an attacker to capture and replay a legitimate message to perform an unauthorized action.</t>
  </si>
  <si>
    <t>Add nonces/replay protection; signed messaging; sequence numbers.</t>
  </si>
  <si>
    <t>Modifying Alarm Settings in PLC 1</t>
  </si>
  <si>
    <t>An attacker changes the conditions under which an alarm is triggered. This can be used to suppress critical safety alarms, preventing operators from seeing a dangerous situation.</t>
  </si>
  <si>
    <t>Role-based controls; authenticated control messages; audit &amp; alerting; restrict remote modifications.</t>
  </si>
  <si>
    <t>Network Routing Capability Abuse</t>
  </si>
  <si>
    <t>If an attacker abuses routing capabilities (e.g., by altering routing tables, injecting false routes, or exploiting routing protocols), it can lead to traffic redirection, interception, or denial of service.</t>
  </si>
  <si>
    <t>Limit unauthorized protocol usage, enforce ACLs, network segmentation</t>
  </si>
  <si>
    <t>Network Stack Resource Exhaustion</t>
  </si>
  <si>
    <t>An attacker can flood a device with network traffic, causing it to run out of resources. This can lead to a denial of service and a loss of availability.</t>
  </si>
  <si>
    <t>Harden network stack; rate-limiting; input validation; resource quotas.</t>
  </si>
  <si>
    <t>Performing Brute Force on I/O for Operator Server 1</t>
  </si>
  <si>
    <t>An attacker tries many combinations of passwords or passphrases to gain access. This can be effective against weak or short passwords, leading to unauthorized login.</t>
  </si>
  <si>
    <t>Account lockout/thresholds; MFA; strong password policies; rate-limiting.</t>
  </si>
  <si>
    <t>Wireless Access point</t>
  </si>
  <si>
    <t>Performing Network Sniffing to intercept traffic from Wireless Access Point</t>
  </si>
  <si>
    <t>An attacker listens to network traffic. This can be used to capture credentials, sensitive data, or learn about network communication patterns.</t>
  </si>
  <si>
    <t>Encrypt network traffic (TLS/VPN); segment networks; disable promiscuous modes where possible.</t>
  </si>
  <si>
    <t>Remotely Accessible Unauthenticated Services</t>
  </si>
  <si>
    <t>A service that can be accessed from a remote location without authentication is a major security vulnerability. This can provide an attacker with a direct path to the internal network.</t>
  </si>
  <si>
    <t>Require authentication for remote services; disable unauthenticated endpoints; ACLs.</t>
  </si>
  <si>
    <t>Removing Indicators on Host to avoid detection in Operator Server 1</t>
  </si>
  <si>
    <t>An attacker deletes or modifies logs and other system indicators. This makes it difficult to see what they have done, complicating a security investigation.</t>
  </si>
  <si>
    <t>Tamper-resistant logging; remote log aggregation; immutable logs; monitor integrity.</t>
  </si>
  <si>
    <t>Web Server</t>
  </si>
  <si>
    <t>Sending Unauthorized Command Messages to Web Server</t>
  </si>
  <si>
    <t>An attacker sends a command that a device is not supposed to receive. This can lead to unexpected behavior, denial of service, or physical damage.</t>
  </si>
  <si>
    <t>Message-level authentication &amp; authorization; replay protection; allowlists.</t>
  </si>
  <si>
    <t>Spreading malware via Replication Through Removable Media on Operator Server 1</t>
  </si>
  <si>
    <t>An attacker uses a USB drive or other removable media to spread malware. This can bypass network security and infect isolated systems.</t>
  </si>
  <si>
    <t>Disable autorun; scan media; restrict removable media use; user training.</t>
  </si>
  <si>
    <t>Stealing Operational Information from Operator Server 1</t>
  </si>
  <si>
    <t>An attacker steals information related to the operation of a system. This can include schematics, process diagrams, or control logic files.</t>
  </si>
  <si>
    <t>Encrypt in transit &amp; at rest; restrict access; audit &amp; DLP controls.</t>
  </si>
  <si>
    <t>Unauthenticated Session Changes Credential</t>
  </si>
  <si>
    <t>An unauthenticated user can change a device's credentials. This is a major vulnerability that can lead to unauthorized access.</t>
  </si>
  <si>
    <t>Require re-authentication for high-risk actions; session management controls; MFA.</t>
  </si>
  <si>
    <t>Undocumented Protocol Features</t>
  </si>
  <si>
    <t>An attacker can find and exploit undocumented features in a protocol. This can be used to bypass security controls and perform unauthorized actions.</t>
  </si>
  <si>
    <t>Disable/ignore undocumented features; strict parsers; test for hidden behaviors.</t>
  </si>
  <si>
    <t>Using a Connection Proxy to disguise traffic in Operator Server 1</t>
  </si>
  <si>
    <t>An attacker uses a proxy to hide their true location. This makes it difficult to trace the attack's origin, complicating a security response.</t>
  </si>
  <si>
    <t>Egress filtering; proxy configuration hardening; detect proxying behavior; network segmentation.</t>
  </si>
  <si>
    <t>Using Autorun Images as an attack vector for Operator Server 1</t>
  </si>
  <si>
    <t>A feature that automatically runs a program when a removable device is inserted. An attacker can use this to automatically infect a system.</t>
  </si>
  <si>
    <t>Disable autorun features; restrict execution from removable drives; scanning.</t>
  </si>
  <si>
    <t>Using Hooking Techniques for malicious actions in Operator Server 1</t>
  </si>
  <si>
    <t>An attacker intercepts calls to a program or operating system function. This can be used to modify the behavior of a program or to steal data.</t>
  </si>
  <si>
    <t>Memory protections; integrity measurement; restrict loadable drivers; code signing.</t>
  </si>
  <si>
    <t>Max</t>
  </si>
  <si>
    <t>Threat Feasibility \ Asset Exposure</t>
  </si>
  <si>
    <t>Publicly Accessible</t>
  </si>
  <si>
    <t>Very Unlikely</t>
  </si>
  <si>
    <t>Unlikely</t>
  </si>
  <si>
    <t>Possible</t>
  </si>
  <si>
    <t>Likely</t>
  </si>
  <si>
    <t>Certain</t>
  </si>
  <si>
    <t>Business (Rep)</t>
  </si>
  <si>
    <t>Operational (Data Loss)</t>
  </si>
  <si>
    <t>Financial (Disruption)</t>
  </si>
  <si>
    <t>Safety (Harm)</t>
  </si>
  <si>
    <t>Environmental</t>
  </si>
  <si>
    <t>Final Impact</t>
  </si>
  <si>
    <t>AEI</t>
  </si>
  <si>
    <t>TEF</t>
  </si>
  <si>
    <t>Unmitigated Likelihood</t>
  </si>
  <si>
    <t>Unmitigated Risk</t>
  </si>
  <si>
    <t>AEI (after)</t>
  </si>
  <si>
    <t>TEF (after)</t>
  </si>
  <si>
    <t>Mitigated Likelihood</t>
  </si>
  <si>
    <t>Mitigated Risk</t>
  </si>
  <si>
    <t>Unauthorized control of SCADA by fake master</t>
  </si>
  <si>
    <t>4 (Easily Accessible)</t>
  </si>
  <si>
    <t>4 (High)</t>
  </si>
  <si>
    <t>Likely (4)</t>
  </si>
  <si>
    <t>Network segmentation, firewall rules, whitelisting master, strict authentication</t>
  </si>
  <si>
    <t>3 (Restricted)</t>
  </si>
  <si>
    <t>2 (Medium)</t>
  </si>
  <si>
    <t>Unlikely (2)</t>
  </si>
  <si>
    <t>Tolerable Risk =6</t>
  </si>
  <si>
    <t>RISK</t>
  </si>
  <si>
    <t>STRIDE Category</t>
  </si>
  <si>
    <t>Threat Techniques</t>
  </si>
  <si>
    <t>Spoofing</t>
  </si>
  <si>
    <t>Adversary-in-the-Middle</t>
  </si>
  <si>
    <t>Connection Proxy</t>
  </si>
  <si>
    <t>Internet Accessible Device</t>
  </si>
  <si>
    <t>Masquerading</t>
  </si>
  <si>
    <t>Rogue Master</t>
  </si>
  <si>
    <t>Spoof Reporting Message</t>
  </si>
  <si>
    <t>Wireless Compromise</t>
  </si>
  <si>
    <t>Tampering</t>
  </si>
  <si>
    <t>Activate Firmware Update Mode</t>
  </si>
  <si>
    <t>Alarm Suppression</t>
  </si>
  <si>
    <t>Block Command Message</t>
  </si>
  <si>
    <t>Block Reporting Message</t>
  </si>
  <si>
    <t>Change Credential</t>
  </si>
  <si>
    <t>Change Operating Mode</t>
  </si>
  <si>
    <t>Manipulate I/O Image</t>
  </si>
  <si>
    <t>Manipulation of Control</t>
  </si>
  <si>
    <t>Manipulation of View</t>
  </si>
  <si>
    <t>Modify Alarm Settings</t>
  </si>
  <si>
    <t>Modify Controller Tasking</t>
  </si>
  <si>
    <t>Modify Parameter</t>
  </si>
  <si>
    <t>Modify Program</t>
  </si>
  <si>
    <t>Module Firmware</t>
  </si>
  <si>
    <t>Program Download</t>
  </si>
  <si>
    <t>Program Upload</t>
  </si>
  <si>
    <t>Project File Infection</t>
  </si>
  <si>
    <t>System Firmware</t>
  </si>
  <si>
    <t>Repudiation</t>
  </si>
  <si>
    <t>Indicator Removal on Host</t>
  </si>
  <si>
    <t>Rootkit</t>
  </si>
  <si>
    <t>Theft of Operational Information</t>
  </si>
  <si>
    <t>Information Disclosure</t>
  </si>
  <si>
    <t>Data from Information Repositories</t>
  </si>
  <si>
    <t>Data from Local System</t>
  </si>
  <si>
    <t>Detect Operating Mode</t>
  </si>
  <si>
    <t>Hooking</t>
  </si>
  <si>
    <t>Network Connection Enumeration</t>
  </si>
  <si>
    <t>Network Sniffing</t>
  </si>
  <si>
    <t>Point &amp; Tag Identification</t>
  </si>
  <si>
    <t>Remote System Discovery</t>
  </si>
  <si>
    <t>Remote System Information Discovery</t>
  </si>
  <si>
    <t>Screen Capture</t>
  </si>
  <si>
    <t>Wireless Sniffing</t>
  </si>
  <si>
    <t>Denial of Service</t>
  </si>
  <si>
    <t>Block Serial COM</t>
  </si>
  <si>
    <t>Brute Force I/O</t>
  </si>
  <si>
    <t>Damage to Property</t>
  </si>
  <si>
    <t>Data Destruction</t>
  </si>
  <si>
    <t>Denial of Control</t>
  </si>
  <si>
    <t>Denial of View</t>
  </si>
  <si>
    <t>Device Restart/Shutdown</t>
  </si>
  <si>
    <t>Loss of Availability</t>
  </si>
  <si>
    <t>Loss of Control</t>
  </si>
  <si>
    <t>Loss of Productivity and Revenue</t>
  </si>
  <si>
    <t>Loss of Protection</t>
  </si>
  <si>
    <t>Loss of Safety</t>
  </si>
  <si>
    <t>Loss of View</t>
  </si>
  <si>
    <t>Service Stop</t>
  </si>
  <si>
    <t>Elevation of Privilege</t>
  </si>
  <si>
    <t>Automated Collection</t>
  </si>
  <si>
    <t>Autorun Image</t>
  </si>
  <si>
    <t>Command-Line Interface</t>
  </si>
  <si>
    <t>Commonly Used Port</t>
  </si>
  <si>
    <t>Default Credentials</t>
  </si>
  <si>
    <t>Drive-by Compromise</t>
  </si>
  <si>
    <t>Execution through API</t>
  </si>
  <si>
    <t>Exploit Public-Facing Application</t>
  </si>
  <si>
    <t>Exploitation for Evasion</t>
  </si>
  <si>
    <t>Exploitation for Privilege Escalation</t>
  </si>
  <si>
    <t>Exploitation of Remote Services</t>
  </si>
  <si>
    <t>External Remote Services</t>
  </si>
  <si>
    <t>Graphical User Interface</t>
  </si>
  <si>
    <t>Hardcoded Credentials</t>
  </si>
  <si>
    <t>I/O Image</t>
  </si>
  <si>
    <t>Lateral Tool Transfer</t>
  </si>
  <si>
    <t>Native API</t>
  </si>
  <si>
    <t>Remote Services</t>
  </si>
  <si>
    <t>Replication Through Removable Media</t>
  </si>
  <si>
    <t>Scripting</t>
  </si>
  <si>
    <t>Spearphishing Attachment</t>
  </si>
  <si>
    <t>Standard Application Layer Protocol</t>
  </si>
  <si>
    <t>Supply Chain Compromise</t>
  </si>
  <si>
    <t>System Binary Proxy Execution</t>
  </si>
  <si>
    <t>Transient Cyber Asset</t>
  </si>
  <si>
    <t>Unauthorized Command Message</t>
  </si>
  <si>
    <t>User Execution</t>
  </si>
  <si>
    <t>Valid Accounts</t>
  </si>
  <si>
    <t>The adversary may have to suppress or contend with multiple alarms and/or alarm propagation to achieve a specific goal to evade detection or prevent intended responses from occurring.</t>
  </si>
  <si>
    <t>Block Serial Com</t>
  </si>
  <si>
    <t>Adversaries may block access to serial COM to prevent instructions or configurations from reaching target devices.</t>
  </si>
  <si>
    <t>Change Credentials</t>
  </si>
  <si>
    <t>Adversaries may modify software and device credentials to prevent operator and responder access</t>
  </si>
  <si>
    <t>Adversaries may destroy data and files on specific devices or in large numbers to interrupt availability to systems, services, and network resources.</t>
  </si>
  <si>
    <t xml:space="preserve">Adversaries may forcibly restart or shutdown a device in an ICS environment to disrupt and potentially negatively impact physical processes. </t>
  </si>
  <si>
    <t>Network Connection enumeration</t>
  </si>
  <si>
    <t xml:space="preserve">Adversaries may perform network connection enumeration to discover information about device communication patterns. </t>
  </si>
  <si>
    <t xml:space="preserve">An adversary may attempt to sniff the traffic to gain information about the target. </t>
  </si>
  <si>
    <t>Remote system Discovery</t>
  </si>
  <si>
    <t>An adversary may attempt to get detailed information about remote systems and their peripherals, such as make/model, role, and configuration.</t>
  </si>
  <si>
    <t>Remote System Information Discovery An adversary may attempt to get detailed information about remote systems and their peripherals, such as make/model, role, and configuration.</t>
  </si>
  <si>
    <t>Adversaries may communicate over a commonly used port to bypass firewalls or network detection systems and to blend in with normal network activity</t>
  </si>
  <si>
    <t>Adversaries may use a connection proxy to direct network traffic between systems or act as an intermediary for network communications.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</si>
</sst>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/>
    <font>
      <sz val="14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0" fillId="0" fontId="5" numFmtId="0" xfId="0" applyFont="1"/>
    <xf borderId="6" fillId="0" fontId="4" numFmtId="0" xfId="0" applyBorder="1" applyFont="1"/>
    <xf borderId="5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vertical="bottom" wrapText="1"/>
    </xf>
    <xf borderId="5" fillId="0" fontId="7" numFmtId="0" xfId="0" applyAlignment="1" applyBorder="1" applyFont="1">
      <alignment horizontal="left" readingOrder="0" shrinkToFit="0" vertical="bottom" wrapText="1"/>
    </xf>
    <xf borderId="5" fillId="0" fontId="5" numFmtId="0" xfId="0" applyBorder="1" applyFont="1"/>
    <xf borderId="5" fillId="0" fontId="5" numFmtId="0" xfId="0" applyAlignment="1" applyBorder="1" applyFont="1">
      <alignment readingOrder="0" shrinkToFit="0" vertical="bottom" wrapText="1"/>
    </xf>
    <xf borderId="5" fillId="0" fontId="5" numFmtId="0" xfId="0" applyAlignment="1" applyBorder="1" applyFont="1">
      <alignment vertical="bottom"/>
    </xf>
    <xf borderId="5" fillId="0" fontId="6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0" fillId="0" fontId="6" numFmtId="0" xfId="0" applyFont="1"/>
    <xf borderId="5" fillId="2" fontId="5" numFmtId="0" xfId="0" applyAlignment="1" applyBorder="1" applyFill="1" applyFont="1">
      <alignment readingOrder="0" shrinkToFit="0" wrapText="1"/>
    </xf>
    <xf borderId="0" fillId="0" fontId="5" numFmtId="0" xfId="0" applyAlignment="1" applyFont="1">
      <alignment readingOrder="0"/>
    </xf>
    <xf borderId="5" fillId="3" fontId="5" numFmtId="0" xfId="0" applyAlignment="1" applyBorder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5" fillId="2" fontId="5" numFmtId="0" xfId="0" applyAlignment="1" applyBorder="1" applyFont="1">
      <alignment shrinkToFit="0" wrapText="1"/>
    </xf>
    <xf borderId="5" fillId="0" fontId="5" numFmtId="0" xfId="0" applyAlignment="1" applyBorder="1" applyFont="1">
      <alignment vertical="bottom"/>
    </xf>
    <xf borderId="5" fillId="2" fontId="5" numFmtId="0" xfId="0" applyAlignment="1" applyBorder="1" applyFont="1">
      <alignment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2" fontId="6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vertical="bottom"/>
    </xf>
    <xf borderId="2" fillId="4" fontId="6" numFmtId="0" xfId="0" applyAlignment="1" applyBorder="1" applyFill="1" applyFont="1">
      <alignment horizontal="center" readingOrder="0"/>
    </xf>
    <xf borderId="5" fillId="4" fontId="6" numFmtId="0" xfId="0" applyAlignment="1" applyBorder="1" applyFont="1">
      <alignment readingOrder="0"/>
    </xf>
    <xf borderId="5" fillId="5" fontId="6" numFmtId="0" xfId="0" applyAlignment="1" applyBorder="1" applyFill="1" applyFont="1">
      <alignment readingOrder="0"/>
    </xf>
    <xf borderId="5" fillId="6" fontId="6" numFmtId="0" xfId="0" applyAlignment="1" applyBorder="1" applyFill="1" applyFont="1">
      <alignment readingOrder="0"/>
    </xf>
    <xf borderId="5" fillId="7" fontId="6" numFmtId="0" xfId="0" applyAlignment="1" applyBorder="1" applyFill="1" applyFont="1">
      <alignment readingOrder="0"/>
    </xf>
    <xf borderId="5" fillId="8" fontId="6" numFmtId="0" xfId="0" applyAlignment="1" applyBorder="1" applyFill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7" fillId="0" fontId="4" numFmtId="0" xfId="0" applyBorder="1" applyFont="1"/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5.75"/>
    <col customWidth="1" min="3" max="4" width="20.88"/>
    <col customWidth="1" min="5" max="5" width="28.5"/>
    <col customWidth="1" min="6" max="6" width="11.88"/>
    <col customWidth="1" min="7" max="7" width="14.5"/>
    <col customWidth="1" min="8" max="9" width="11.25"/>
    <col customWidth="1" min="10" max="10" width="12.5"/>
    <col customWidth="1" min="11" max="13" width="13.25"/>
    <col customWidth="1" min="14" max="15" width="11.38"/>
    <col customWidth="1" min="16" max="16" width="8.5"/>
    <col customWidth="1" min="17" max="17" width="22.75"/>
    <col customWidth="1" min="18" max="20" width="14.38"/>
    <col customWidth="1" min="21" max="21" width="10.5"/>
    <col customWidth="1" min="23" max="23" width="15.13"/>
    <col customWidth="1" min="24" max="24" width="31.88"/>
    <col customWidth="1" min="25" max="25" width="30.5"/>
  </cols>
  <sheetData>
    <row r="1">
      <c r="A1" s="1"/>
      <c r="B1" s="1"/>
      <c r="C1" s="2"/>
      <c r="D1" s="2"/>
      <c r="E1" s="2"/>
      <c r="F1" s="3"/>
      <c r="G1" s="3"/>
      <c r="H1" s="3"/>
      <c r="I1" s="3"/>
      <c r="J1" s="3"/>
      <c r="K1" s="4"/>
      <c r="L1" s="4"/>
      <c r="M1" s="4"/>
      <c r="N1" s="4"/>
      <c r="O1" s="3"/>
      <c r="P1" s="3"/>
      <c r="Q1" s="4"/>
      <c r="R1" s="5"/>
      <c r="S1" s="5"/>
      <c r="T1" s="3"/>
      <c r="U1" s="3"/>
    </row>
    <row r="2">
      <c r="A2" s="1"/>
      <c r="B2" s="6" t="s">
        <v>0</v>
      </c>
      <c r="C2" s="7" t="s">
        <v>1</v>
      </c>
      <c r="D2" s="8" t="s">
        <v>2</v>
      </c>
      <c r="E2" s="8" t="s">
        <v>3</v>
      </c>
      <c r="F2" s="9" t="s">
        <v>4</v>
      </c>
      <c r="G2" s="10"/>
      <c r="H2" s="10"/>
      <c r="I2" s="10"/>
      <c r="J2" s="11"/>
      <c r="K2" s="12"/>
      <c r="L2" s="13" t="s">
        <v>5</v>
      </c>
      <c r="M2" s="10"/>
      <c r="N2" s="11"/>
      <c r="O2" s="14" t="s">
        <v>6</v>
      </c>
      <c r="P2" s="15" t="s">
        <v>7</v>
      </c>
      <c r="Q2" s="7" t="s">
        <v>8</v>
      </c>
      <c r="R2" s="16" t="s">
        <v>9</v>
      </c>
      <c r="S2" s="10"/>
      <c r="T2" s="10"/>
      <c r="U2" s="17"/>
      <c r="V2" s="18"/>
    </row>
    <row r="3">
      <c r="A3" s="1"/>
      <c r="B3" s="19"/>
      <c r="C3" s="19"/>
      <c r="D3" s="19"/>
      <c r="E3" s="19"/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20" t="s">
        <v>16</v>
      </c>
      <c r="M3" s="20" t="s">
        <v>17</v>
      </c>
      <c r="N3" s="20" t="s">
        <v>18</v>
      </c>
      <c r="O3" s="19"/>
      <c r="P3" s="19"/>
      <c r="Q3" s="19"/>
      <c r="R3" s="21" t="s">
        <v>16</v>
      </c>
      <c r="S3" s="21" t="s">
        <v>17</v>
      </c>
      <c r="T3" s="20" t="s">
        <v>19</v>
      </c>
      <c r="U3" s="22" t="s">
        <v>20</v>
      </c>
      <c r="V3" s="18"/>
    </row>
    <row r="4">
      <c r="A4" s="23"/>
      <c r="B4" s="24">
        <v>1.0</v>
      </c>
      <c r="C4" s="25" t="s">
        <v>21</v>
      </c>
      <c r="D4" s="26" t="s">
        <v>22</v>
      </c>
      <c r="E4" s="27" t="s">
        <v>23</v>
      </c>
      <c r="F4" s="24">
        <v>3.0</v>
      </c>
      <c r="G4" s="24">
        <v>4.0</v>
      </c>
      <c r="H4" s="24">
        <v>3.0</v>
      </c>
      <c r="I4" s="24">
        <v>2.0</v>
      </c>
      <c r="J4" s="24">
        <v>1.0</v>
      </c>
      <c r="K4" s="25">
        <f t="shared" ref="K4:K50" si="1">MAX(F4:J4)</f>
        <v>4</v>
      </c>
      <c r="L4" s="25" t="s">
        <v>24</v>
      </c>
      <c r="M4" s="25" t="s">
        <v>25</v>
      </c>
      <c r="N4" s="24">
        <f t="shared" ref="N4:N50" si="2">CHOOSE(MATCH(INDEX($L$65:$P$69, MATCH(M4, $J$65:$J$69, 0), MATCH(L4, $L$64:$P$64, 0)), {"Very Unlikely","Unlikely","Possible","Likely","Certain"},0),1,2,3,4,5)
</f>
        <v>3</v>
      </c>
      <c r="O4" s="28">
        <f t="shared" ref="O4:O7" si="3">K4*N4</f>
        <v>12</v>
      </c>
      <c r="P4" s="28">
        <f>VLOOKUP(O4,SLTS!$A$1:$B$27,2)</f>
        <v>2</v>
      </c>
      <c r="Q4" s="26" t="s">
        <v>26</v>
      </c>
      <c r="R4" s="29" t="s">
        <v>27</v>
      </c>
      <c r="S4" s="30" t="s">
        <v>28</v>
      </c>
      <c r="T4" s="24">
        <f t="shared" ref="T4:T50" si="4">CHOOSE(MATCH(INDEX($L$65:$P$69, MATCH(S4, $J$65:$J$69, 0), MATCH(R4, $L$64:$P$64, 0)), {"Very Unlikely","Unlikely","Possible","Likely","Certain"},0),1,2,3,4,5)
</f>
        <v>2</v>
      </c>
      <c r="U4" s="24">
        <f t="shared" ref="U4:U50" si="5">max(F4:J4)*T4</f>
        <v>8</v>
      </c>
      <c r="V4" s="18"/>
      <c r="X4" s="31" t="s">
        <v>29</v>
      </c>
      <c r="Y4" s="31" t="s">
        <v>30</v>
      </c>
    </row>
    <row r="5">
      <c r="A5" s="23"/>
      <c r="B5" s="24">
        <v>2.0</v>
      </c>
      <c r="C5" s="25" t="s">
        <v>31</v>
      </c>
      <c r="D5" s="26" t="s">
        <v>32</v>
      </c>
      <c r="E5" s="27" t="s">
        <v>33</v>
      </c>
      <c r="F5" s="24">
        <v>3.0</v>
      </c>
      <c r="G5" s="24">
        <v>4.0</v>
      </c>
      <c r="H5" s="24">
        <v>4.0</v>
      </c>
      <c r="I5" s="24">
        <v>3.0</v>
      </c>
      <c r="J5" s="24">
        <v>2.0</v>
      </c>
      <c r="K5" s="25">
        <f t="shared" si="1"/>
        <v>4</v>
      </c>
      <c r="L5" s="25" t="s">
        <v>24</v>
      </c>
      <c r="M5" s="25" t="s">
        <v>25</v>
      </c>
      <c r="N5" s="24">
        <f t="shared" si="2"/>
        <v>3</v>
      </c>
      <c r="O5" s="28">
        <f t="shared" si="3"/>
        <v>12</v>
      </c>
      <c r="P5" s="28">
        <f>VLOOKUP(O5,SLTS!$A$1:$B$27,2)</f>
        <v>2</v>
      </c>
      <c r="Q5" s="26" t="s">
        <v>34</v>
      </c>
      <c r="R5" s="32" t="s">
        <v>35</v>
      </c>
      <c r="S5" s="32" t="s">
        <v>28</v>
      </c>
      <c r="T5" s="24">
        <f t="shared" si="4"/>
        <v>1</v>
      </c>
      <c r="U5" s="28">
        <f t="shared" si="5"/>
        <v>4</v>
      </c>
      <c r="V5" s="18"/>
      <c r="X5" s="31">
        <v>1.0</v>
      </c>
      <c r="Y5" s="31">
        <v>1.0</v>
      </c>
      <c r="Z5" s="23">
        <v>27.0</v>
      </c>
    </row>
    <row r="6">
      <c r="A6" s="23"/>
      <c r="B6" s="24">
        <v>3.0</v>
      </c>
      <c r="C6" s="25" t="s">
        <v>21</v>
      </c>
      <c r="D6" s="26" t="s">
        <v>36</v>
      </c>
      <c r="E6" s="27" t="s">
        <v>37</v>
      </c>
      <c r="F6" s="24">
        <v>3.0</v>
      </c>
      <c r="G6" s="24">
        <v>3.0</v>
      </c>
      <c r="H6" s="24">
        <v>4.0</v>
      </c>
      <c r="I6" s="24">
        <v>3.0</v>
      </c>
      <c r="J6" s="24">
        <v>3.0</v>
      </c>
      <c r="K6" s="25">
        <f t="shared" si="1"/>
        <v>4</v>
      </c>
      <c r="L6" s="25" t="s">
        <v>38</v>
      </c>
      <c r="M6" s="25" t="s">
        <v>39</v>
      </c>
      <c r="N6" s="24">
        <f t="shared" si="2"/>
        <v>3</v>
      </c>
      <c r="O6" s="28">
        <f t="shared" si="3"/>
        <v>12</v>
      </c>
      <c r="P6" s="28">
        <f>VLOOKUP(O6,SLTS!$A$1:$B$27,2)</f>
        <v>2</v>
      </c>
      <c r="Q6" s="26" t="s">
        <v>40</v>
      </c>
      <c r="R6" s="32" t="s">
        <v>24</v>
      </c>
      <c r="S6" s="32" t="s">
        <v>28</v>
      </c>
      <c r="T6" s="24">
        <f t="shared" si="4"/>
        <v>2</v>
      </c>
      <c r="U6" s="28">
        <f t="shared" si="5"/>
        <v>8</v>
      </c>
      <c r="V6" s="18"/>
      <c r="X6" s="31">
        <v>2.0</v>
      </c>
      <c r="Y6" s="31">
        <v>34.0</v>
      </c>
    </row>
    <row r="7">
      <c r="A7" s="23"/>
      <c r="B7" s="24">
        <v>4.0</v>
      </c>
      <c r="C7" s="25" t="s">
        <v>21</v>
      </c>
      <c r="D7" s="26" t="s">
        <v>41</v>
      </c>
      <c r="E7" s="26" t="s">
        <v>42</v>
      </c>
      <c r="F7" s="24">
        <v>3.0</v>
      </c>
      <c r="G7" s="24">
        <v>4.0</v>
      </c>
      <c r="H7" s="24">
        <v>4.0</v>
      </c>
      <c r="I7" s="24">
        <v>3.0</v>
      </c>
      <c r="J7" s="24">
        <v>3.0</v>
      </c>
      <c r="K7" s="25">
        <f t="shared" si="1"/>
        <v>4</v>
      </c>
      <c r="L7" s="25" t="s">
        <v>38</v>
      </c>
      <c r="M7" s="25" t="s">
        <v>39</v>
      </c>
      <c r="N7" s="24">
        <f t="shared" si="2"/>
        <v>3</v>
      </c>
      <c r="O7" s="28">
        <f t="shared" si="3"/>
        <v>12</v>
      </c>
      <c r="P7" s="28">
        <f>VLOOKUP(O7,SLTS!$A$1:$B$27,2)</f>
        <v>2</v>
      </c>
      <c r="Q7" s="26" t="s">
        <v>43</v>
      </c>
      <c r="R7" s="30" t="s">
        <v>24</v>
      </c>
      <c r="S7" s="32" t="s">
        <v>28</v>
      </c>
      <c r="T7" s="24">
        <f t="shared" si="4"/>
        <v>2</v>
      </c>
      <c r="U7" s="28">
        <f t="shared" si="5"/>
        <v>8</v>
      </c>
      <c r="V7" s="18"/>
      <c r="X7" s="31">
        <v>3.0</v>
      </c>
      <c r="Y7" s="31">
        <v>9.0</v>
      </c>
    </row>
    <row r="8">
      <c r="A8" s="23"/>
      <c r="B8" s="24">
        <v>5.0</v>
      </c>
      <c r="C8" s="25" t="s">
        <v>31</v>
      </c>
      <c r="D8" s="26" t="s">
        <v>44</v>
      </c>
      <c r="E8" s="26" t="s">
        <v>45</v>
      </c>
      <c r="F8" s="24">
        <v>3.0</v>
      </c>
      <c r="G8" s="24">
        <v>4.0</v>
      </c>
      <c r="H8" s="24">
        <v>4.0</v>
      </c>
      <c r="I8" s="24">
        <v>4.0</v>
      </c>
      <c r="J8" s="24">
        <v>3.0</v>
      </c>
      <c r="K8" s="25">
        <f t="shared" si="1"/>
        <v>4</v>
      </c>
      <c r="L8" s="25" t="s">
        <v>24</v>
      </c>
      <c r="M8" s="25" t="s">
        <v>25</v>
      </c>
      <c r="N8" s="24">
        <f t="shared" si="2"/>
        <v>3</v>
      </c>
      <c r="O8" s="28">
        <f t="shared" ref="O8:O50" si="6">max(F8:J8)*N8</f>
        <v>12</v>
      </c>
      <c r="P8" s="28">
        <f>VLOOKUP(O8,SLTS!$A$1:$B$27,2)</f>
        <v>2</v>
      </c>
      <c r="Q8" s="26" t="s">
        <v>46</v>
      </c>
      <c r="R8" s="30" t="s">
        <v>35</v>
      </c>
      <c r="S8" s="32" t="s">
        <v>47</v>
      </c>
      <c r="T8" s="24">
        <f t="shared" si="4"/>
        <v>2</v>
      </c>
      <c r="U8" s="28">
        <f t="shared" si="5"/>
        <v>8</v>
      </c>
      <c r="V8" s="18"/>
      <c r="X8" s="31">
        <v>4.0</v>
      </c>
      <c r="Y8" s="31">
        <v>3.0</v>
      </c>
    </row>
    <row r="9">
      <c r="A9" s="23"/>
      <c r="B9" s="24">
        <v>6.0</v>
      </c>
      <c r="C9" s="25" t="s">
        <v>21</v>
      </c>
      <c r="D9" s="26" t="s">
        <v>48</v>
      </c>
      <c r="E9" s="26" t="s">
        <v>49</v>
      </c>
      <c r="F9" s="24">
        <v>4.0</v>
      </c>
      <c r="G9" s="24">
        <v>4.0</v>
      </c>
      <c r="H9" s="24">
        <v>4.0</v>
      </c>
      <c r="I9" s="24">
        <v>3.0</v>
      </c>
      <c r="J9" s="24">
        <v>3.0</v>
      </c>
      <c r="K9" s="25">
        <f t="shared" si="1"/>
        <v>4</v>
      </c>
      <c r="L9" s="25" t="s">
        <v>38</v>
      </c>
      <c r="M9" s="25" t="s">
        <v>47</v>
      </c>
      <c r="N9" s="24">
        <f t="shared" si="2"/>
        <v>3</v>
      </c>
      <c r="O9" s="28">
        <f t="shared" si="6"/>
        <v>12</v>
      </c>
      <c r="P9" s="28">
        <f>VLOOKUP(O9,SLTS!$A$1:$B$27,2)</f>
        <v>2</v>
      </c>
      <c r="Q9" s="26" t="s">
        <v>50</v>
      </c>
      <c r="R9" s="30" t="s">
        <v>35</v>
      </c>
      <c r="S9" s="32" t="s">
        <v>47</v>
      </c>
      <c r="T9" s="24">
        <f t="shared" si="4"/>
        <v>2</v>
      </c>
      <c r="U9" s="28">
        <f t="shared" si="5"/>
        <v>8</v>
      </c>
      <c r="V9" s="18"/>
      <c r="Y9" s="33">
        <f>sum(Y5:Y8)</f>
        <v>47</v>
      </c>
    </row>
    <row r="10">
      <c r="A10" s="23"/>
      <c r="B10" s="24">
        <v>7.0</v>
      </c>
      <c r="C10" s="25" t="s">
        <v>21</v>
      </c>
      <c r="D10" s="26" t="s">
        <v>51</v>
      </c>
      <c r="E10" s="26" t="s">
        <v>52</v>
      </c>
      <c r="F10" s="24">
        <v>3.0</v>
      </c>
      <c r="G10" s="24">
        <v>4.0</v>
      </c>
      <c r="H10" s="24">
        <v>4.0</v>
      </c>
      <c r="I10" s="24">
        <v>4.0</v>
      </c>
      <c r="J10" s="24">
        <v>3.0</v>
      </c>
      <c r="K10" s="25">
        <f t="shared" si="1"/>
        <v>4</v>
      </c>
      <c r="L10" s="25" t="s">
        <v>24</v>
      </c>
      <c r="M10" s="25" t="s">
        <v>39</v>
      </c>
      <c r="N10" s="24">
        <f t="shared" si="2"/>
        <v>3</v>
      </c>
      <c r="O10" s="28">
        <f t="shared" si="6"/>
        <v>12</v>
      </c>
      <c r="P10" s="28">
        <f>VLOOKUP(O10,SLTS!$A$1:$B$27,2)</f>
        <v>2</v>
      </c>
      <c r="Q10" s="26" t="s">
        <v>53</v>
      </c>
      <c r="R10" s="32" t="s">
        <v>27</v>
      </c>
      <c r="S10" s="32" t="s">
        <v>28</v>
      </c>
      <c r="T10" s="24">
        <f t="shared" si="4"/>
        <v>2</v>
      </c>
      <c r="U10" s="28">
        <f t="shared" si="5"/>
        <v>8</v>
      </c>
      <c r="V10" s="18"/>
    </row>
    <row r="11">
      <c r="A11" s="23"/>
      <c r="B11" s="24">
        <v>8.0</v>
      </c>
      <c r="C11" s="34" t="s">
        <v>31</v>
      </c>
      <c r="D11" s="26" t="s">
        <v>54</v>
      </c>
      <c r="E11" s="26" t="s">
        <v>55</v>
      </c>
      <c r="F11" s="24">
        <v>3.0</v>
      </c>
      <c r="G11" s="24">
        <v>3.0</v>
      </c>
      <c r="H11" s="24">
        <v>4.0</v>
      </c>
      <c r="I11" s="24">
        <v>2.0</v>
      </c>
      <c r="J11" s="24">
        <v>2.0</v>
      </c>
      <c r="K11" s="25">
        <f t="shared" si="1"/>
        <v>4</v>
      </c>
      <c r="L11" s="25" t="s">
        <v>27</v>
      </c>
      <c r="M11" s="25" t="s">
        <v>25</v>
      </c>
      <c r="N11" s="24">
        <f t="shared" si="2"/>
        <v>3</v>
      </c>
      <c r="O11" s="28">
        <f t="shared" si="6"/>
        <v>12</v>
      </c>
      <c r="P11" s="28">
        <f>VLOOKUP(O11,SLTS!$A$1:$B$27,2)</f>
        <v>2</v>
      </c>
      <c r="Q11" s="26" t="s">
        <v>56</v>
      </c>
      <c r="R11" s="30" t="s">
        <v>35</v>
      </c>
      <c r="S11" s="32" t="s">
        <v>28</v>
      </c>
      <c r="T11" s="24">
        <f t="shared" si="4"/>
        <v>1</v>
      </c>
      <c r="U11" s="28">
        <f t="shared" si="5"/>
        <v>4</v>
      </c>
      <c r="V11" s="35"/>
    </row>
    <row r="12">
      <c r="A12" s="23"/>
      <c r="B12" s="24">
        <v>9.0</v>
      </c>
      <c r="C12" s="25" t="s">
        <v>21</v>
      </c>
      <c r="D12" s="26" t="s">
        <v>57</v>
      </c>
      <c r="E12" s="26" t="s">
        <v>58</v>
      </c>
      <c r="F12" s="24">
        <v>3.0</v>
      </c>
      <c r="G12" s="24">
        <v>4.0</v>
      </c>
      <c r="H12" s="24">
        <v>4.0</v>
      </c>
      <c r="I12" s="24">
        <v>3.0</v>
      </c>
      <c r="J12" s="24">
        <v>2.0</v>
      </c>
      <c r="K12" s="25">
        <f t="shared" si="1"/>
        <v>4</v>
      </c>
      <c r="L12" s="25" t="s">
        <v>24</v>
      </c>
      <c r="M12" s="25" t="s">
        <v>47</v>
      </c>
      <c r="N12" s="24">
        <f t="shared" si="2"/>
        <v>2</v>
      </c>
      <c r="O12" s="28">
        <f t="shared" si="6"/>
        <v>8</v>
      </c>
      <c r="P12" s="28">
        <f>VLOOKUP(O12,SLTS!$A$1:$B$27,2)</f>
        <v>2</v>
      </c>
      <c r="Q12" s="26" t="s">
        <v>59</v>
      </c>
      <c r="R12" s="32" t="s">
        <v>27</v>
      </c>
      <c r="S12" s="32" t="s">
        <v>28</v>
      </c>
      <c r="T12" s="24">
        <f t="shared" si="4"/>
        <v>2</v>
      </c>
      <c r="U12" s="28">
        <f t="shared" si="5"/>
        <v>8</v>
      </c>
      <c r="V12" s="18"/>
    </row>
    <row r="13">
      <c r="A13" s="23"/>
      <c r="B13" s="24">
        <v>10.0</v>
      </c>
      <c r="C13" s="25" t="s">
        <v>21</v>
      </c>
      <c r="D13" s="26" t="s">
        <v>60</v>
      </c>
      <c r="E13" s="26" t="s">
        <v>61</v>
      </c>
      <c r="F13" s="24">
        <v>4.0</v>
      </c>
      <c r="G13" s="24">
        <v>3.0</v>
      </c>
      <c r="H13" s="24">
        <v>5.0</v>
      </c>
      <c r="I13" s="24">
        <v>3.0</v>
      </c>
      <c r="J13" s="24">
        <v>3.0</v>
      </c>
      <c r="K13" s="25">
        <f t="shared" si="1"/>
        <v>5</v>
      </c>
      <c r="L13" s="25" t="s">
        <v>38</v>
      </c>
      <c r="M13" s="25" t="s">
        <v>47</v>
      </c>
      <c r="N13" s="24">
        <f t="shared" si="2"/>
        <v>3</v>
      </c>
      <c r="O13" s="28">
        <f t="shared" si="6"/>
        <v>15</v>
      </c>
      <c r="P13" s="28">
        <f>VLOOKUP(O13,SLTS!$A$1:$B$27,2)</f>
        <v>3</v>
      </c>
      <c r="Q13" s="26" t="s">
        <v>62</v>
      </c>
      <c r="R13" s="32" t="s">
        <v>24</v>
      </c>
      <c r="S13" s="32" t="s">
        <v>47</v>
      </c>
      <c r="T13" s="24">
        <f t="shared" si="4"/>
        <v>2</v>
      </c>
      <c r="U13" s="28">
        <f t="shared" si="5"/>
        <v>10</v>
      </c>
      <c r="V13" s="18"/>
    </row>
    <row r="14">
      <c r="A14" s="23"/>
      <c r="B14" s="24">
        <v>11.0</v>
      </c>
      <c r="C14" s="25" t="s">
        <v>21</v>
      </c>
      <c r="D14" s="26" t="s">
        <v>63</v>
      </c>
      <c r="E14" s="26" t="s">
        <v>64</v>
      </c>
      <c r="F14" s="24">
        <v>3.0</v>
      </c>
      <c r="G14" s="24">
        <v>4.0</v>
      </c>
      <c r="H14" s="24">
        <v>4.0</v>
      </c>
      <c r="I14" s="24">
        <v>3.0</v>
      </c>
      <c r="J14" s="24">
        <v>4.0</v>
      </c>
      <c r="K14" s="25">
        <f t="shared" si="1"/>
        <v>4</v>
      </c>
      <c r="L14" s="25" t="s">
        <v>27</v>
      </c>
      <c r="M14" s="25" t="s">
        <v>39</v>
      </c>
      <c r="N14" s="24">
        <f t="shared" si="2"/>
        <v>2</v>
      </c>
      <c r="O14" s="28">
        <f t="shared" si="6"/>
        <v>8</v>
      </c>
      <c r="P14" s="28">
        <f>VLOOKUP(O14,SLTS!$A$1:$B$27,2)</f>
        <v>2</v>
      </c>
      <c r="Q14" s="26" t="s">
        <v>65</v>
      </c>
      <c r="R14" s="30" t="s">
        <v>35</v>
      </c>
      <c r="S14" s="32" t="s">
        <v>28</v>
      </c>
      <c r="T14" s="24">
        <f t="shared" si="4"/>
        <v>1</v>
      </c>
      <c r="U14" s="28">
        <f t="shared" si="5"/>
        <v>4</v>
      </c>
      <c r="V14" s="18"/>
    </row>
    <row r="15">
      <c r="A15" s="23"/>
      <c r="B15" s="24">
        <v>12.0</v>
      </c>
      <c r="C15" s="36" t="s">
        <v>31</v>
      </c>
      <c r="D15" s="26" t="s">
        <v>66</v>
      </c>
      <c r="E15" s="26" t="s">
        <v>67</v>
      </c>
      <c r="F15" s="24">
        <v>4.0</v>
      </c>
      <c r="G15" s="24">
        <v>3.0</v>
      </c>
      <c r="H15" s="24">
        <v>4.0</v>
      </c>
      <c r="I15" s="24">
        <v>3.0</v>
      </c>
      <c r="J15" s="24">
        <v>3.0</v>
      </c>
      <c r="K15" s="25">
        <f t="shared" si="1"/>
        <v>4</v>
      </c>
      <c r="L15" s="25" t="s">
        <v>24</v>
      </c>
      <c r="M15" s="25" t="s">
        <v>39</v>
      </c>
      <c r="N15" s="24">
        <f t="shared" si="2"/>
        <v>3</v>
      </c>
      <c r="O15" s="28">
        <f t="shared" si="6"/>
        <v>12</v>
      </c>
      <c r="P15" s="28">
        <f>VLOOKUP(O15,SLTS!$A$1:$B$27,2)</f>
        <v>2</v>
      </c>
      <c r="Q15" s="26" t="s">
        <v>68</v>
      </c>
      <c r="R15" s="32" t="s">
        <v>27</v>
      </c>
      <c r="S15" s="32" t="s">
        <v>28</v>
      </c>
      <c r="T15" s="24">
        <f t="shared" si="4"/>
        <v>2</v>
      </c>
      <c r="U15" s="28">
        <f t="shared" si="5"/>
        <v>8</v>
      </c>
      <c r="V15" s="35"/>
    </row>
    <row r="16">
      <c r="A16" s="23"/>
      <c r="B16" s="24">
        <v>13.0</v>
      </c>
      <c r="C16" s="36" t="s">
        <v>21</v>
      </c>
      <c r="D16" s="26" t="s">
        <v>69</v>
      </c>
      <c r="E16" s="26" t="s">
        <v>70</v>
      </c>
      <c r="F16" s="24">
        <v>4.0</v>
      </c>
      <c r="G16" s="24">
        <v>5.0</v>
      </c>
      <c r="H16" s="24">
        <v>4.0</v>
      </c>
      <c r="I16" s="24">
        <v>3.0</v>
      </c>
      <c r="J16" s="24">
        <v>3.0</v>
      </c>
      <c r="K16" s="25">
        <f t="shared" si="1"/>
        <v>5</v>
      </c>
      <c r="L16" s="25" t="s">
        <v>24</v>
      </c>
      <c r="M16" s="25" t="s">
        <v>39</v>
      </c>
      <c r="N16" s="24">
        <f t="shared" si="2"/>
        <v>3</v>
      </c>
      <c r="O16" s="28">
        <f t="shared" si="6"/>
        <v>15</v>
      </c>
      <c r="P16" s="28">
        <f>VLOOKUP(O16,SLTS!$A$1:$B$27,2)</f>
        <v>3</v>
      </c>
      <c r="Q16" s="26" t="s">
        <v>71</v>
      </c>
      <c r="R16" s="32" t="s">
        <v>27</v>
      </c>
      <c r="S16" s="32" t="s">
        <v>28</v>
      </c>
      <c r="T16" s="24">
        <f t="shared" si="4"/>
        <v>2</v>
      </c>
      <c r="U16" s="28">
        <f t="shared" si="5"/>
        <v>10</v>
      </c>
      <c r="V16" s="35"/>
    </row>
    <row r="17">
      <c r="A17" s="23"/>
      <c r="B17" s="24">
        <v>14.0</v>
      </c>
      <c r="C17" s="25" t="s">
        <v>21</v>
      </c>
      <c r="D17" s="26" t="s">
        <v>72</v>
      </c>
      <c r="E17" s="26" t="s">
        <v>73</v>
      </c>
      <c r="F17" s="24">
        <v>3.0</v>
      </c>
      <c r="G17" s="24">
        <v>4.0</v>
      </c>
      <c r="H17" s="24">
        <v>4.0</v>
      </c>
      <c r="I17" s="24">
        <v>3.0</v>
      </c>
      <c r="J17" s="24">
        <v>2.0</v>
      </c>
      <c r="K17" s="25">
        <f t="shared" si="1"/>
        <v>4</v>
      </c>
      <c r="L17" s="25" t="s">
        <v>38</v>
      </c>
      <c r="M17" s="25" t="s">
        <v>28</v>
      </c>
      <c r="N17" s="24">
        <f t="shared" si="2"/>
        <v>2</v>
      </c>
      <c r="O17" s="28">
        <f t="shared" si="6"/>
        <v>8</v>
      </c>
      <c r="P17" s="28">
        <f>VLOOKUP(O17,SLTS!$A$1:$B$27,2)</f>
        <v>2</v>
      </c>
      <c r="Q17" s="26" t="s">
        <v>74</v>
      </c>
      <c r="R17" s="32" t="s">
        <v>27</v>
      </c>
      <c r="S17" s="32" t="s">
        <v>47</v>
      </c>
      <c r="T17" s="24">
        <f t="shared" si="4"/>
        <v>2</v>
      </c>
      <c r="U17" s="28">
        <f t="shared" si="5"/>
        <v>8</v>
      </c>
      <c r="V17" s="18"/>
    </row>
    <row r="18">
      <c r="A18" s="23"/>
      <c r="B18" s="24">
        <v>15.0</v>
      </c>
      <c r="C18" s="25" t="s">
        <v>21</v>
      </c>
      <c r="D18" s="26" t="s">
        <v>75</v>
      </c>
      <c r="E18" s="26" t="s">
        <v>76</v>
      </c>
      <c r="F18" s="24">
        <v>4.0</v>
      </c>
      <c r="G18" s="24">
        <v>3.0</v>
      </c>
      <c r="H18" s="24">
        <v>4.0</v>
      </c>
      <c r="I18" s="24">
        <v>2.0</v>
      </c>
      <c r="J18" s="24">
        <v>2.0</v>
      </c>
      <c r="K18" s="25">
        <f t="shared" si="1"/>
        <v>4</v>
      </c>
      <c r="L18" s="25" t="s">
        <v>24</v>
      </c>
      <c r="M18" s="25" t="s">
        <v>39</v>
      </c>
      <c r="N18" s="24">
        <f t="shared" si="2"/>
        <v>3</v>
      </c>
      <c r="O18" s="28">
        <f t="shared" si="6"/>
        <v>12</v>
      </c>
      <c r="P18" s="28">
        <f>VLOOKUP(O18,SLTS!$A$1:$B$27,2)</f>
        <v>2</v>
      </c>
      <c r="Q18" s="26" t="s">
        <v>77</v>
      </c>
      <c r="R18" s="30" t="s">
        <v>35</v>
      </c>
      <c r="S18" s="32" t="s">
        <v>28</v>
      </c>
      <c r="T18" s="24">
        <f t="shared" si="4"/>
        <v>1</v>
      </c>
      <c r="U18" s="28">
        <f t="shared" si="5"/>
        <v>4</v>
      </c>
      <c r="V18" s="18"/>
    </row>
    <row r="19">
      <c r="A19" s="23"/>
      <c r="B19" s="24">
        <v>16.0</v>
      </c>
      <c r="C19" s="34" t="s">
        <v>78</v>
      </c>
      <c r="D19" s="26" t="s">
        <v>79</v>
      </c>
      <c r="E19" s="26" t="s">
        <v>80</v>
      </c>
      <c r="F19" s="24">
        <v>4.0</v>
      </c>
      <c r="G19" s="24">
        <v>5.0</v>
      </c>
      <c r="H19" s="24">
        <v>5.0</v>
      </c>
      <c r="I19" s="24">
        <v>4.0</v>
      </c>
      <c r="J19" s="24">
        <v>4.0</v>
      </c>
      <c r="K19" s="25">
        <f t="shared" si="1"/>
        <v>5</v>
      </c>
      <c r="L19" s="25" t="s">
        <v>38</v>
      </c>
      <c r="M19" s="25" t="s">
        <v>39</v>
      </c>
      <c r="N19" s="24">
        <f t="shared" si="2"/>
        <v>3</v>
      </c>
      <c r="O19" s="28">
        <f t="shared" si="6"/>
        <v>15</v>
      </c>
      <c r="P19" s="28">
        <f>VLOOKUP(O19,SLTS!$A$1:$B$27,2)</f>
        <v>3</v>
      </c>
      <c r="Q19" s="26" t="s">
        <v>81</v>
      </c>
      <c r="R19" s="32" t="s">
        <v>27</v>
      </c>
      <c r="S19" s="32" t="s">
        <v>47</v>
      </c>
      <c r="T19" s="24">
        <f t="shared" si="4"/>
        <v>2</v>
      </c>
      <c r="U19" s="28">
        <f t="shared" si="5"/>
        <v>10</v>
      </c>
      <c r="V19" s="35"/>
    </row>
    <row r="20">
      <c r="A20" s="23"/>
      <c r="B20" s="24">
        <v>17.0</v>
      </c>
      <c r="C20" s="25" t="s">
        <v>31</v>
      </c>
      <c r="D20" s="26" t="s">
        <v>82</v>
      </c>
      <c r="E20" s="26" t="s">
        <v>83</v>
      </c>
      <c r="F20" s="24">
        <v>3.0</v>
      </c>
      <c r="G20" s="24">
        <v>3.0</v>
      </c>
      <c r="H20" s="24">
        <v>3.0</v>
      </c>
      <c r="I20" s="24">
        <v>2.0</v>
      </c>
      <c r="J20" s="24">
        <v>1.0</v>
      </c>
      <c r="K20" s="25">
        <f t="shared" si="1"/>
        <v>3</v>
      </c>
      <c r="L20" s="25" t="s">
        <v>27</v>
      </c>
      <c r="M20" s="25" t="s">
        <v>47</v>
      </c>
      <c r="N20" s="24">
        <f t="shared" si="2"/>
        <v>2</v>
      </c>
      <c r="O20" s="28">
        <f t="shared" si="6"/>
        <v>6</v>
      </c>
      <c r="P20" s="28">
        <f>VLOOKUP(O20,SLTS!$A$1:$B$27,2)</f>
        <v>1</v>
      </c>
      <c r="Q20" s="26" t="s">
        <v>84</v>
      </c>
      <c r="R20" s="30" t="s">
        <v>35</v>
      </c>
      <c r="S20" s="32" t="s">
        <v>28</v>
      </c>
      <c r="T20" s="24">
        <f t="shared" si="4"/>
        <v>1</v>
      </c>
      <c r="U20" s="28">
        <f t="shared" si="5"/>
        <v>3</v>
      </c>
      <c r="V20" s="18"/>
    </row>
    <row r="21">
      <c r="A21" s="23"/>
      <c r="B21" s="24">
        <v>18.0</v>
      </c>
      <c r="C21" s="25" t="s">
        <v>21</v>
      </c>
      <c r="D21" s="26" t="s">
        <v>85</v>
      </c>
      <c r="E21" s="26" t="s">
        <v>86</v>
      </c>
      <c r="F21" s="24">
        <v>4.0</v>
      </c>
      <c r="G21" s="24">
        <v>4.0</v>
      </c>
      <c r="H21" s="24">
        <v>4.0</v>
      </c>
      <c r="I21" s="24">
        <v>2.0</v>
      </c>
      <c r="J21" s="24">
        <v>3.0</v>
      </c>
      <c r="K21" s="25">
        <f t="shared" si="1"/>
        <v>4</v>
      </c>
      <c r="L21" s="25" t="s">
        <v>24</v>
      </c>
      <c r="M21" s="25" t="s">
        <v>25</v>
      </c>
      <c r="N21" s="24">
        <f t="shared" si="2"/>
        <v>3</v>
      </c>
      <c r="O21" s="28">
        <f t="shared" si="6"/>
        <v>12</v>
      </c>
      <c r="P21" s="28">
        <f>VLOOKUP(O21,SLTS!$A$1:$B$27,2)</f>
        <v>2</v>
      </c>
      <c r="Q21" s="26" t="s">
        <v>87</v>
      </c>
      <c r="R21" s="30" t="s">
        <v>35</v>
      </c>
      <c r="S21" s="32" t="s">
        <v>28</v>
      </c>
      <c r="T21" s="24">
        <f t="shared" si="4"/>
        <v>1</v>
      </c>
      <c r="U21" s="28">
        <f t="shared" si="5"/>
        <v>4</v>
      </c>
      <c r="V21" s="18"/>
    </row>
    <row r="22">
      <c r="A22" s="23"/>
      <c r="B22" s="24">
        <v>19.0</v>
      </c>
      <c r="C22" s="25" t="s">
        <v>31</v>
      </c>
      <c r="D22" s="26" t="s">
        <v>88</v>
      </c>
      <c r="E22" s="26" t="s">
        <v>89</v>
      </c>
      <c r="F22" s="24">
        <v>4.0</v>
      </c>
      <c r="G22" s="24">
        <v>5.0</v>
      </c>
      <c r="H22" s="24">
        <v>4.0</v>
      </c>
      <c r="I22" s="24">
        <v>3.0</v>
      </c>
      <c r="J22" s="24">
        <v>3.0</v>
      </c>
      <c r="K22" s="25">
        <f t="shared" si="1"/>
        <v>5</v>
      </c>
      <c r="L22" s="25" t="s">
        <v>24</v>
      </c>
      <c r="M22" s="25" t="s">
        <v>90</v>
      </c>
      <c r="N22" s="24">
        <f t="shared" si="2"/>
        <v>4</v>
      </c>
      <c r="O22" s="28">
        <f t="shared" si="6"/>
        <v>20</v>
      </c>
      <c r="P22" s="28">
        <f>VLOOKUP(O22,SLTS!$A$1:$B$27,2)</f>
        <v>4</v>
      </c>
      <c r="Q22" s="26" t="s">
        <v>77</v>
      </c>
      <c r="R22" s="30" t="s">
        <v>35</v>
      </c>
      <c r="S22" s="32" t="s">
        <v>47</v>
      </c>
      <c r="T22" s="24">
        <f t="shared" si="4"/>
        <v>2</v>
      </c>
      <c r="U22" s="28">
        <f t="shared" si="5"/>
        <v>10</v>
      </c>
      <c r="V22" s="18"/>
    </row>
    <row r="23">
      <c r="A23" s="23"/>
      <c r="B23" s="24">
        <v>20.0</v>
      </c>
      <c r="C23" s="25" t="s">
        <v>21</v>
      </c>
      <c r="D23" s="26" t="s">
        <v>91</v>
      </c>
      <c r="E23" s="26" t="s">
        <v>76</v>
      </c>
      <c r="F23" s="24">
        <v>5.0</v>
      </c>
      <c r="G23" s="24">
        <v>4.0</v>
      </c>
      <c r="H23" s="24">
        <v>4.0</v>
      </c>
      <c r="I23" s="24">
        <v>3.0</v>
      </c>
      <c r="J23" s="24">
        <v>3.0</v>
      </c>
      <c r="K23" s="25">
        <f t="shared" si="1"/>
        <v>5</v>
      </c>
      <c r="L23" s="25" t="s">
        <v>24</v>
      </c>
      <c r="M23" s="25" t="s">
        <v>39</v>
      </c>
      <c r="N23" s="24">
        <f t="shared" si="2"/>
        <v>3</v>
      </c>
      <c r="O23" s="28">
        <f t="shared" si="6"/>
        <v>15</v>
      </c>
      <c r="P23" s="28">
        <f>VLOOKUP(O23,SLTS!$A$1:$B$27,2)</f>
        <v>3</v>
      </c>
      <c r="Q23" s="26" t="s">
        <v>77</v>
      </c>
      <c r="R23" s="32" t="s">
        <v>27</v>
      </c>
      <c r="S23" s="32" t="s">
        <v>28</v>
      </c>
      <c r="T23" s="24">
        <f t="shared" si="4"/>
        <v>2</v>
      </c>
      <c r="U23" s="28">
        <f t="shared" si="5"/>
        <v>10</v>
      </c>
      <c r="V23" s="18"/>
    </row>
    <row r="24">
      <c r="A24" s="23"/>
      <c r="B24" s="24">
        <v>21.0</v>
      </c>
      <c r="C24" s="25" t="s">
        <v>92</v>
      </c>
      <c r="D24" s="26" t="s">
        <v>93</v>
      </c>
      <c r="E24" s="26" t="s">
        <v>94</v>
      </c>
      <c r="F24" s="24">
        <v>5.0</v>
      </c>
      <c r="G24" s="24">
        <v>5.0</v>
      </c>
      <c r="H24" s="24">
        <v>4.0</v>
      </c>
      <c r="I24" s="24">
        <v>3.0</v>
      </c>
      <c r="J24" s="24">
        <v>3.0</v>
      </c>
      <c r="K24" s="25">
        <f t="shared" si="1"/>
        <v>5</v>
      </c>
      <c r="L24" s="25" t="s">
        <v>24</v>
      </c>
      <c r="M24" s="25" t="s">
        <v>47</v>
      </c>
      <c r="N24" s="24">
        <f t="shared" si="2"/>
        <v>2</v>
      </c>
      <c r="O24" s="28">
        <f t="shared" si="6"/>
        <v>10</v>
      </c>
      <c r="P24" s="28">
        <f>VLOOKUP(O24,SLTS!$A$1:$B$27,2)</f>
        <v>2</v>
      </c>
      <c r="Q24" s="26" t="s">
        <v>95</v>
      </c>
      <c r="R24" s="32" t="s">
        <v>35</v>
      </c>
      <c r="S24" s="32" t="s">
        <v>28</v>
      </c>
      <c r="T24" s="24">
        <f t="shared" si="4"/>
        <v>1</v>
      </c>
      <c r="U24" s="28">
        <f t="shared" si="5"/>
        <v>5</v>
      </c>
      <c r="V24" s="18"/>
    </row>
    <row r="25">
      <c r="A25" s="23"/>
      <c r="B25" s="24">
        <v>22.0</v>
      </c>
      <c r="C25" s="25" t="s">
        <v>21</v>
      </c>
      <c r="D25" s="26" t="s">
        <v>96</v>
      </c>
      <c r="E25" s="26" t="s">
        <v>97</v>
      </c>
      <c r="F25" s="24">
        <v>4.0</v>
      </c>
      <c r="G25" s="24">
        <v>5.0</v>
      </c>
      <c r="H25" s="24">
        <v>4.0</v>
      </c>
      <c r="I25" s="24">
        <v>3.0</v>
      </c>
      <c r="J25" s="24">
        <v>2.0</v>
      </c>
      <c r="K25" s="25">
        <f t="shared" si="1"/>
        <v>5</v>
      </c>
      <c r="L25" s="25" t="s">
        <v>38</v>
      </c>
      <c r="M25" s="25" t="s">
        <v>25</v>
      </c>
      <c r="N25" s="24">
        <f t="shared" si="2"/>
        <v>4</v>
      </c>
      <c r="O25" s="28">
        <f t="shared" si="6"/>
        <v>20</v>
      </c>
      <c r="P25" s="28">
        <f>VLOOKUP(O25,SLTS!$A$1:$B$27,2)</f>
        <v>4</v>
      </c>
      <c r="Q25" s="26" t="s">
        <v>98</v>
      </c>
      <c r="R25" s="32" t="s">
        <v>27</v>
      </c>
      <c r="S25" s="32" t="s">
        <v>47</v>
      </c>
      <c r="T25" s="24">
        <f t="shared" si="4"/>
        <v>2</v>
      </c>
      <c r="U25" s="28">
        <f t="shared" si="5"/>
        <v>10</v>
      </c>
      <c r="V25" s="18"/>
    </row>
    <row r="26">
      <c r="A26" s="23"/>
      <c r="B26" s="24">
        <v>23.0</v>
      </c>
      <c r="C26" s="25" t="s">
        <v>78</v>
      </c>
      <c r="D26" s="26" t="s">
        <v>99</v>
      </c>
      <c r="E26" s="26" t="s">
        <v>100</v>
      </c>
      <c r="F26" s="24">
        <v>3.0</v>
      </c>
      <c r="G26" s="24">
        <v>4.0</v>
      </c>
      <c r="H26" s="24">
        <v>4.0</v>
      </c>
      <c r="I26" s="24">
        <v>3.0</v>
      </c>
      <c r="J26" s="24">
        <v>2.0</v>
      </c>
      <c r="K26" s="25">
        <f t="shared" si="1"/>
        <v>4</v>
      </c>
      <c r="L26" s="25" t="s">
        <v>38</v>
      </c>
      <c r="M26" s="25" t="s">
        <v>28</v>
      </c>
      <c r="N26" s="24">
        <f t="shared" si="2"/>
        <v>2</v>
      </c>
      <c r="O26" s="28">
        <f t="shared" si="6"/>
        <v>8</v>
      </c>
      <c r="P26" s="28">
        <f>VLOOKUP(O26,SLTS!$A$1:$B$27,2)</f>
        <v>2</v>
      </c>
      <c r="Q26" s="26" t="s">
        <v>101</v>
      </c>
      <c r="R26" s="32" t="s">
        <v>27</v>
      </c>
      <c r="S26" s="32" t="s">
        <v>47</v>
      </c>
      <c r="T26" s="24">
        <f t="shared" si="4"/>
        <v>2</v>
      </c>
      <c r="U26" s="28">
        <f t="shared" si="5"/>
        <v>8</v>
      </c>
      <c r="V26" s="18"/>
    </row>
    <row r="27">
      <c r="A27" s="23"/>
      <c r="B27" s="24">
        <v>24.0</v>
      </c>
      <c r="C27" s="25" t="s">
        <v>92</v>
      </c>
      <c r="D27" s="26" t="s">
        <v>102</v>
      </c>
      <c r="E27" s="26" t="s">
        <v>103</v>
      </c>
      <c r="F27" s="24">
        <v>3.0</v>
      </c>
      <c r="G27" s="24">
        <v>4.0</v>
      </c>
      <c r="H27" s="24">
        <v>3.0</v>
      </c>
      <c r="I27" s="24">
        <v>3.0</v>
      </c>
      <c r="J27" s="24">
        <v>2.0</v>
      </c>
      <c r="K27" s="25">
        <f t="shared" si="1"/>
        <v>4</v>
      </c>
      <c r="L27" s="25" t="s">
        <v>24</v>
      </c>
      <c r="M27" s="25" t="s">
        <v>47</v>
      </c>
      <c r="N27" s="24">
        <f t="shared" si="2"/>
        <v>2</v>
      </c>
      <c r="O27" s="28">
        <f t="shared" si="6"/>
        <v>8</v>
      </c>
      <c r="P27" s="28">
        <f>VLOOKUP(O27,SLTS!$A$1:$B$27,2)</f>
        <v>2</v>
      </c>
      <c r="Q27" s="26" t="s">
        <v>104</v>
      </c>
      <c r="R27" s="32" t="s">
        <v>27</v>
      </c>
      <c r="S27" s="32" t="s">
        <v>47</v>
      </c>
      <c r="T27" s="24">
        <f t="shared" si="4"/>
        <v>2</v>
      </c>
      <c r="U27" s="28">
        <f t="shared" si="5"/>
        <v>8</v>
      </c>
      <c r="V27" s="18"/>
    </row>
    <row r="28">
      <c r="A28" s="23"/>
      <c r="B28" s="24">
        <v>25.0</v>
      </c>
      <c r="C28" s="25" t="s">
        <v>21</v>
      </c>
      <c r="D28" s="26" t="s">
        <v>105</v>
      </c>
      <c r="E28" s="26" t="s">
        <v>106</v>
      </c>
      <c r="F28" s="24">
        <v>3.0</v>
      </c>
      <c r="G28" s="24">
        <v>3.0</v>
      </c>
      <c r="H28" s="24">
        <v>4.0</v>
      </c>
      <c r="I28" s="24">
        <v>5.0</v>
      </c>
      <c r="J28" s="24">
        <v>3.0</v>
      </c>
      <c r="K28" s="25">
        <f t="shared" si="1"/>
        <v>5</v>
      </c>
      <c r="L28" s="25" t="s">
        <v>24</v>
      </c>
      <c r="M28" s="25" t="s">
        <v>47</v>
      </c>
      <c r="N28" s="24">
        <f t="shared" si="2"/>
        <v>2</v>
      </c>
      <c r="O28" s="28">
        <f t="shared" si="6"/>
        <v>10</v>
      </c>
      <c r="P28" s="28">
        <f>VLOOKUP(O28,SLTS!$A$1:$B$27,2)</f>
        <v>2</v>
      </c>
      <c r="Q28" s="26" t="s">
        <v>107</v>
      </c>
      <c r="R28" s="30" t="s">
        <v>35</v>
      </c>
      <c r="S28" s="32" t="s">
        <v>28</v>
      </c>
      <c r="T28" s="24">
        <f t="shared" si="4"/>
        <v>1</v>
      </c>
      <c r="U28" s="28">
        <f t="shared" si="5"/>
        <v>5</v>
      </c>
      <c r="V28" s="18"/>
    </row>
    <row r="29">
      <c r="A29" s="23"/>
      <c r="B29" s="24">
        <v>26.0</v>
      </c>
      <c r="C29" s="25" t="s">
        <v>92</v>
      </c>
      <c r="D29" s="26" t="s">
        <v>108</v>
      </c>
      <c r="E29" s="26" t="s">
        <v>109</v>
      </c>
      <c r="F29" s="24">
        <v>4.0</v>
      </c>
      <c r="G29" s="24">
        <v>5.0</v>
      </c>
      <c r="H29" s="24">
        <v>4.0</v>
      </c>
      <c r="I29" s="24">
        <v>3.0</v>
      </c>
      <c r="J29" s="24">
        <v>3.0</v>
      </c>
      <c r="K29" s="25">
        <f t="shared" si="1"/>
        <v>5</v>
      </c>
      <c r="L29" s="25" t="s">
        <v>38</v>
      </c>
      <c r="M29" s="25" t="s">
        <v>39</v>
      </c>
      <c r="N29" s="24">
        <f t="shared" si="2"/>
        <v>3</v>
      </c>
      <c r="O29" s="28">
        <f t="shared" si="6"/>
        <v>15</v>
      </c>
      <c r="P29" s="28">
        <f>VLOOKUP(O29,SLTS!$A$1:$B$27,2)</f>
        <v>3</v>
      </c>
      <c r="Q29" s="26" t="s">
        <v>110</v>
      </c>
      <c r="R29" s="32" t="s">
        <v>35</v>
      </c>
      <c r="S29" s="32" t="s">
        <v>47</v>
      </c>
      <c r="T29" s="24">
        <f t="shared" si="4"/>
        <v>2</v>
      </c>
      <c r="U29" s="28">
        <f t="shared" si="5"/>
        <v>10</v>
      </c>
      <c r="V29" s="18"/>
    </row>
    <row r="30">
      <c r="A30" s="23"/>
      <c r="B30" s="24">
        <v>27.0</v>
      </c>
      <c r="C30" s="25" t="s">
        <v>21</v>
      </c>
      <c r="D30" s="26" t="s">
        <v>111</v>
      </c>
      <c r="E30" s="26" t="s">
        <v>112</v>
      </c>
      <c r="F30" s="24">
        <v>4.0</v>
      </c>
      <c r="G30" s="24">
        <v>4.0</v>
      </c>
      <c r="H30" s="24">
        <v>4.0</v>
      </c>
      <c r="I30" s="24">
        <v>2.0</v>
      </c>
      <c r="J30" s="24">
        <v>2.0</v>
      </c>
      <c r="K30" s="25">
        <f t="shared" si="1"/>
        <v>4</v>
      </c>
      <c r="L30" s="25" t="s">
        <v>38</v>
      </c>
      <c r="M30" s="25" t="s">
        <v>39</v>
      </c>
      <c r="N30" s="24">
        <f t="shared" si="2"/>
        <v>3</v>
      </c>
      <c r="O30" s="28">
        <f t="shared" si="6"/>
        <v>12</v>
      </c>
      <c r="P30" s="28">
        <f>VLOOKUP(O30,SLTS!$A$1:$B$27,2)</f>
        <v>2</v>
      </c>
      <c r="Q30" s="26" t="s">
        <v>113</v>
      </c>
      <c r="R30" s="30" t="s">
        <v>35</v>
      </c>
      <c r="S30" s="32" t="s">
        <v>28</v>
      </c>
      <c r="T30" s="24">
        <f t="shared" si="4"/>
        <v>1</v>
      </c>
      <c r="U30" s="28">
        <f t="shared" si="5"/>
        <v>4</v>
      </c>
      <c r="V30" s="18"/>
    </row>
    <row r="31">
      <c r="A31" s="23"/>
      <c r="B31" s="24">
        <v>28.0</v>
      </c>
      <c r="C31" s="25" t="s">
        <v>21</v>
      </c>
      <c r="D31" s="26" t="s">
        <v>114</v>
      </c>
      <c r="E31" s="26" t="s">
        <v>115</v>
      </c>
      <c r="F31" s="24">
        <v>3.0</v>
      </c>
      <c r="G31" s="24">
        <v>4.0</v>
      </c>
      <c r="H31" s="24">
        <v>4.0</v>
      </c>
      <c r="I31" s="24">
        <v>2.0</v>
      </c>
      <c r="J31" s="24">
        <v>2.0</v>
      </c>
      <c r="K31" s="25">
        <f t="shared" si="1"/>
        <v>4</v>
      </c>
      <c r="L31" s="25" t="s">
        <v>24</v>
      </c>
      <c r="M31" s="25" t="s">
        <v>39</v>
      </c>
      <c r="N31" s="24">
        <f t="shared" si="2"/>
        <v>3</v>
      </c>
      <c r="O31" s="28">
        <f t="shared" si="6"/>
        <v>12</v>
      </c>
      <c r="P31" s="28">
        <f>VLOOKUP(O31,SLTS!$A$1:$B$27,2)</f>
        <v>2</v>
      </c>
      <c r="Q31" s="26" t="s">
        <v>116</v>
      </c>
      <c r="R31" s="30" t="s">
        <v>35</v>
      </c>
      <c r="S31" s="32" t="s">
        <v>28</v>
      </c>
      <c r="T31" s="24">
        <f t="shared" si="4"/>
        <v>1</v>
      </c>
      <c r="U31" s="28">
        <f t="shared" si="5"/>
        <v>4</v>
      </c>
      <c r="V31" s="18"/>
    </row>
    <row r="32">
      <c r="A32" s="23"/>
      <c r="B32" s="24">
        <v>29.0</v>
      </c>
      <c r="C32" s="25" t="s">
        <v>21</v>
      </c>
      <c r="D32" s="26" t="s">
        <v>117</v>
      </c>
      <c r="E32" s="26" t="s">
        <v>118</v>
      </c>
      <c r="F32" s="24">
        <v>4.0</v>
      </c>
      <c r="G32" s="24">
        <v>5.0</v>
      </c>
      <c r="H32" s="24">
        <v>5.0</v>
      </c>
      <c r="I32" s="24">
        <v>3.0</v>
      </c>
      <c r="J32" s="24">
        <v>2.0</v>
      </c>
      <c r="K32" s="25">
        <f t="shared" si="1"/>
        <v>5</v>
      </c>
      <c r="L32" s="25" t="s">
        <v>24</v>
      </c>
      <c r="M32" s="25" t="s">
        <v>90</v>
      </c>
      <c r="N32" s="24">
        <f t="shared" si="2"/>
        <v>4</v>
      </c>
      <c r="O32" s="28">
        <f t="shared" si="6"/>
        <v>20</v>
      </c>
      <c r="P32" s="28">
        <f>VLOOKUP(O32,SLTS!$A$1:$B$27,2)</f>
        <v>4</v>
      </c>
      <c r="Q32" s="26" t="s">
        <v>119</v>
      </c>
      <c r="R32" s="32" t="s">
        <v>27</v>
      </c>
      <c r="S32" s="32" t="s">
        <v>28</v>
      </c>
      <c r="T32" s="24">
        <f t="shared" si="4"/>
        <v>2</v>
      </c>
      <c r="U32" s="28">
        <f t="shared" si="5"/>
        <v>10</v>
      </c>
      <c r="V32" s="18"/>
    </row>
    <row r="33">
      <c r="A33" s="23"/>
      <c r="B33" s="24">
        <v>30.0</v>
      </c>
      <c r="C33" s="25" t="s">
        <v>31</v>
      </c>
      <c r="D33" s="26" t="s">
        <v>120</v>
      </c>
      <c r="E33" s="26" t="s">
        <v>121</v>
      </c>
      <c r="F33" s="24">
        <v>3.0</v>
      </c>
      <c r="G33" s="24">
        <v>4.0</v>
      </c>
      <c r="H33" s="24">
        <v>5.0</v>
      </c>
      <c r="I33" s="24">
        <v>5.0</v>
      </c>
      <c r="J33" s="24">
        <v>2.0</v>
      </c>
      <c r="K33" s="25">
        <f t="shared" si="1"/>
        <v>5</v>
      </c>
      <c r="L33" s="25" t="s">
        <v>24</v>
      </c>
      <c r="M33" s="25" t="s">
        <v>39</v>
      </c>
      <c r="N33" s="24">
        <f t="shared" si="2"/>
        <v>3</v>
      </c>
      <c r="O33" s="28">
        <f t="shared" si="6"/>
        <v>15</v>
      </c>
      <c r="P33" s="28">
        <f>VLOOKUP(O33,SLTS!$A$1:$B$27,2)</f>
        <v>3</v>
      </c>
      <c r="Q33" s="26" t="s">
        <v>122</v>
      </c>
      <c r="R33" s="32" t="s">
        <v>27</v>
      </c>
      <c r="S33" s="32" t="s">
        <v>28</v>
      </c>
      <c r="T33" s="24">
        <f t="shared" si="4"/>
        <v>2</v>
      </c>
      <c r="U33" s="28">
        <f t="shared" si="5"/>
        <v>10</v>
      </c>
      <c r="V33" s="18"/>
    </row>
    <row r="34">
      <c r="A34" s="23"/>
      <c r="B34" s="24">
        <v>31.0</v>
      </c>
      <c r="C34" s="25" t="s">
        <v>31</v>
      </c>
      <c r="D34" s="26" t="s">
        <v>123</v>
      </c>
      <c r="E34" s="26" t="s">
        <v>124</v>
      </c>
      <c r="F34" s="24">
        <v>3.0</v>
      </c>
      <c r="G34" s="24">
        <v>3.0</v>
      </c>
      <c r="H34" s="24">
        <v>4.0</v>
      </c>
      <c r="I34" s="24">
        <v>3.0</v>
      </c>
      <c r="J34" s="24">
        <v>2.0</v>
      </c>
      <c r="K34" s="25">
        <f t="shared" si="1"/>
        <v>4</v>
      </c>
      <c r="L34" s="25" t="s">
        <v>24</v>
      </c>
      <c r="M34" s="25" t="s">
        <v>25</v>
      </c>
      <c r="N34" s="24">
        <f t="shared" si="2"/>
        <v>3</v>
      </c>
      <c r="O34" s="28">
        <f t="shared" si="6"/>
        <v>12</v>
      </c>
      <c r="P34" s="28">
        <f>VLOOKUP(O34,SLTS!$A$1:$B$27,2)</f>
        <v>2</v>
      </c>
      <c r="Q34" s="26" t="s">
        <v>125</v>
      </c>
      <c r="R34" s="30" t="s">
        <v>35</v>
      </c>
      <c r="S34" s="32" t="s">
        <v>28</v>
      </c>
      <c r="T34" s="24">
        <f t="shared" si="4"/>
        <v>1</v>
      </c>
      <c r="U34" s="28">
        <f t="shared" si="5"/>
        <v>4</v>
      </c>
      <c r="V34" s="18"/>
    </row>
    <row r="35">
      <c r="A35" s="23"/>
      <c r="B35" s="24">
        <v>32.0</v>
      </c>
      <c r="C35" s="25" t="s">
        <v>21</v>
      </c>
      <c r="D35" s="26" t="s">
        <v>126</v>
      </c>
      <c r="E35" s="26" t="s">
        <v>127</v>
      </c>
      <c r="F35" s="24">
        <v>4.0</v>
      </c>
      <c r="G35" s="24">
        <v>5.0</v>
      </c>
      <c r="H35" s="24">
        <v>4.0</v>
      </c>
      <c r="I35" s="24">
        <v>3.0</v>
      </c>
      <c r="J35" s="24">
        <v>2.0</v>
      </c>
      <c r="K35" s="25">
        <f t="shared" si="1"/>
        <v>5</v>
      </c>
      <c r="L35" s="25" t="s">
        <v>38</v>
      </c>
      <c r="M35" s="25" t="s">
        <v>39</v>
      </c>
      <c r="N35" s="24">
        <f t="shared" si="2"/>
        <v>3</v>
      </c>
      <c r="O35" s="28">
        <f t="shared" si="6"/>
        <v>15</v>
      </c>
      <c r="P35" s="28">
        <f>VLOOKUP(O35,SLTS!$A$1:$B$27,2)</f>
        <v>3</v>
      </c>
      <c r="Q35" s="26" t="s">
        <v>128</v>
      </c>
      <c r="R35" s="32" t="s">
        <v>27</v>
      </c>
      <c r="S35" s="32" t="s">
        <v>28</v>
      </c>
      <c r="T35" s="24">
        <f t="shared" si="4"/>
        <v>2</v>
      </c>
      <c r="U35" s="28">
        <f t="shared" si="5"/>
        <v>10</v>
      </c>
      <c r="V35" s="18"/>
    </row>
    <row r="36">
      <c r="A36" s="23"/>
      <c r="B36" s="24">
        <v>33.0</v>
      </c>
      <c r="C36" s="25" t="s">
        <v>31</v>
      </c>
      <c r="D36" s="26" t="s">
        <v>129</v>
      </c>
      <c r="E36" s="26" t="s">
        <v>130</v>
      </c>
      <c r="F36" s="24">
        <v>4.0</v>
      </c>
      <c r="G36" s="24">
        <v>3.0</v>
      </c>
      <c r="H36" s="24">
        <v>5.0</v>
      </c>
      <c r="I36" s="24">
        <v>5.0</v>
      </c>
      <c r="J36" s="24">
        <v>2.0</v>
      </c>
      <c r="K36" s="25">
        <f t="shared" si="1"/>
        <v>5</v>
      </c>
      <c r="L36" s="25" t="s">
        <v>24</v>
      </c>
      <c r="M36" s="25" t="s">
        <v>25</v>
      </c>
      <c r="N36" s="24">
        <f t="shared" si="2"/>
        <v>3</v>
      </c>
      <c r="O36" s="28">
        <f t="shared" si="6"/>
        <v>15</v>
      </c>
      <c r="P36" s="28">
        <f>VLOOKUP(O36,SLTS!$A$1:$B$27,2)</f>
        <v>3</v>
      </c>
      <c r="Q36" s="26" t="s">
        <v>131</v>
      </c>
      <c r="R36" s="30" t="s">
        <v>35</v>
      </c>
      <c r="S36" s="32" t="s">
        <v>28</v>
      </c>
      <c r="T36" s="24">
        <f t="shared" si="4"/>
        <v>1</v>
      </c>
      <c r="U36" s="28">
        <f t="shared" si="5"/>
        <v>5</v>
      </c>
      <c r="V36" s="18"/>
    </row>
    <row r="37">
      <c r="A37" s="23"/>
      <c r="B37" s="24">
        <v>34.0</v>
      </c>
      <c r="C37" s="25" t="s">
        <v>21</v>
      </c>
      <c r="D37" s="26" t="s">
        <v>132</v>
      </c>
      <c r="E37" s="37" t="s">
        <v>133</v>
      </c>
      <c r="F37" s="24">
        <v>3.0</v>
      </c>
      <c r="G37" s="24">
        <v>3.0</v>
      </c>
      <c r="H37" s="24">
        <v>4.0</v>
      </c>
      <c r="I37" s="24">
        <v>3.0</v>
      </c>
      <c r="J37" s="24">
        <v>2.0</v>
      </c>
      <c r="K37" s="25">
        <f t="shared" si="1"/>
        <v>4</v>
      </c>
      <c r="L37" s="25" t="s">
        <v>24</v>
      </c>
      <c r="M37" s="25" t="s">
        <v>25</v>
      </c>
      <c r="N37" s="24">
        <f t="shared" si="2"/>
        <v>3</v>
      </c>
      <c r="O37" s="28">
        <f t="shared" si="6"/>
        <v>12</v>
      </c>
      <c r="P37" s="28">
        <f>VLOOKUP(O37,SLTS!$A$1:$B$27,2)</f>
        <v>2</v>
      </c>
      <c r="Q37" s="26" t="s">
        <v>134</v>
      </c>
      <c r="R37" s="30" t="s">
        <v>35</v>
      </c>
      <c r="S37" s="32" t="s">
        <v>28</v>
      </c>
      <c r="T37" s="24">
        <f t="shared" si="4"/>
        <v>1</v>
      </c>
      <c r="U37" s="28">
        <f t="shared" si="5"/>
        <v>4</v>
      </c>
      <c r="V37" s="18"/>
    </row>
    <row r="38">
      <c r="A38" s="23"/>
      <c r="B38" s="24">
        <v>35.0</v>
      </c>
      <c r="C38" s="25" t="s">
        <v>92</v>
      </c>
      <c r="D38" s="26" t="s">
        <v>135</v>
      </c>
      <c r="E38" s="26" t="s">
        <v>136</v>
      </c>
      <c r="F38" s="24">
        <v>4.0</v>
      </c>
      <c r="G38" s="24">
        <v>4.0</v>
      </c>
      <c r="H38" s="24">
        <v>4.0</v>
      </c>
      <c r="I38" s="24">
        <v>4.0</v>
      </c>
      <c r="J38" s="24">
        <v>2.0</v>
      </c>
      <c r="K38" s="25">
        <f t="shared" si="1"/>
        <v>4</v>
      </c>
      <c r="L38" s="25" t="s">
        <v>35</v>
      </c>
      <c r="M38" s="25" t="s">
        <v>39</v>
      </c>
      <c r="N38" s="24">
        <f t="shared" si="2"/>
        <v>2</v>
      </c>
      <c r="O38" s="28">
        <f t="shared" si="6"/>
        <v>8</v>
      </c>
      <c r="P38" s="28">
        <f>VLOOKUP(O38,SLTS!$A$1:$B$27,2)</f>
        <v>2</v>
      </c>
      <c r="Q38" s="26" t="s">
        <v>137</v>
      </c>
      <c r="R38" s="30" t="s">
        <v>35</v>
      </c>
      <c r="S38" s="32" t="s">
        <v>28</v>
      </c>
      <c r="T38" s="24">
        <f t="shared" si="4"/>
        <v>1</v>
      </c>
      <c r="U38" s="28">
        <f t="shared" si="5"/>
        <v>4</v>
      </c>
      <c r="V38" s="18"/>
    </row>
    <row r="39">
      <c r="A39" s="23"/>
      <c r="B39" s="24">
        <v>36.0</v>
      </c>
      <c r="C39" s="25" t="s">
        <v>21</v>
      </c>
      <c r="D39" s="26" t="s">
        <v>138</v>
      </c>
      <c r="E39" s="26" t="s">
        <v>139</v>
      </c>
      <c r="F39" s="24">
        <v>3.0</v>
      </c>
      <c r="G39" s="24">
        <v>4.0</v>
      </c>
      <c r="H39" s="24">
        <v>4.0</v>
      </c>
      <c r="I39" s="24">
        <v>3.0</v>
      </c>
      <c r="J39" s="24">
        <v>2.0</v>
      </c>
      <c r="K39" s="25">
        <f t="shared" si="1"/>
        <v>4</v>
      </c>
      <c r="L39" s="25" t="s">
        <v>24</v>
      </c>
      <c r="M39" s="25" t="s">
        <v>47</v>
      </c>
      <c r="N39" s="24">
        <f t="shared" si="2"/>
        <v>2</v>
      </c>
      <c r="O39" s="28">
        <f t="shared" si="6"/>
        <v>8</v>
      </c>
      <c r="P39" s="28">
        <f>VLOOKUP(O39,SLTS!$A$1:$B$27,2)</f>
        <v>2</v>
      </c>
      <c r="Q39" s="26" t="s">
        <v>140</v>
      </c>
      <c r="R39" s="32" t="s">
        <v>35</v>
      </c>
      <c r="S39" s="32" t="s">
        <v>28</v>
      </c>
      <c r="T39" s="24">
        <f t="shared" si="4"/>
        <v>1</v>
      </c>
      <c r="U39" s="28">
        <f t="shared" si="5"/>
        <v>4</v>
      </c>
      <c r="V39" s="18"/>
    </row>
    <row r="40">
      <c r="A40" s="23"/>
      <c r="B40" s="24">
        <v>37.0</v>
      </c>
      <c r="C40" s="25" t="s">
        <v>141</v>
      </c>
      <c r="D40" s="26" t="s">
        <v>142</v>
      </c>
      <c r="E40" s="26" t="s">
        <v>143</v>
      </c>
      <c r="F40" s="24">
        <v>3.0</v>
      </c>
      <c r="G40" s="24">
        <v>4.0</v>
      </c>
      <c r="H40" s="24">
        <v>4.0</v>
      </c>
      <c r="I40" s="24">
        <v>3.0</v>
      </c>
      <c r="J40" s="24">
        <v>2.0</v>
      </c>
      <c r="K40" s="25">
        <f t="shared" si="1"/>
        <v>4</v>
      </c>
      <c r="L40" s="25" t="s">
        <v>24</v>
      </c>
      <c r="M40" s="25" t="s">
        <v>39</v>
      </c>
      <c r="N40" s="24">
        <f t="shared" si="2"/>
        <v>3</v>
      </c>
      <c r="O40" s="28">
        <f t="shared" si="6"/>
        <v>12</v>
      </c>
      <c r="P40" s="28">
        <f>VLOOKUP(O40,SLTS!$A$1:$B$27,2)</f>
        <v>2</v>
      </c>
      <c r="Q40" s="26" t="s">
        <v>144</v>
      </c>
      <c r="R40" s="30" t="s">
        <v>35</v>
      </c>
      <c r="S40" s="32" t="s">
        <v>28</v>
      </c>
      <c r="T40" s="24">
        <f t="shared" si="4"/>
        <v>1</v>
      </c>
      <c r="U40" s="28">
        <f t="shared" si="5"/>
        <v>4</v>
      </c>
      <c r="V40" s="18"/>
    </row>
    <row r="41">
      <c r="A41" s="23"/>
      <c r="B41" s="24">
        <v>38.0</v>
      </c>
      <c r="C41" s="25" t="s">
        <v>92</v>
      </c>
      <c r="D41" s="26" t="s">
        <v>145</v>
      </c>
      <c r="E41" s="26" t="s">
        <v>146</v>
      </c>
      <c r="F41" s="24">
        <v>4.0</v>
      </c>
      <c r="G41" s="24">
        <v>4.0</v>
      </c>
      <c r="H41" s="24">
        <v>4.0</v>
      </c>
      <c r="I41" s="24">
        <v>3.0</v>
      </c>
      <c r="J41" s="24">
        <v>2.0</v>
      </c>
      <c r="K41" s="25">
        <f t="shared" si="1"/>
        <v>4</v>
      </c>
      <c r="L41" s="25" t="s">
        <v>24</v>
      </c>
      <c r="M41" s="25" t="s">
        <v>39</v>
      </c>
      <c r="N41" s="24">
        <f t="shared" si="2"/>
        <v>3</v>
      </c>
      <c r="O41" s="28">
        <f t="shared" si="6"/>
        <v>12</v>
      </c>
      <c r="P41" s="28">
        <f>VLOOKUP(O41,SLTS!$A$1:$B$27,2)</f>
        <v>2</v>
      </c>
      <c r="Q41" s="26" t="s">
        <v>147</v>
      </c>
      <c r="R41" s="30" t="s">
        <v>35</v>
      </c>
      <c r="S41" s="32" t="s">
        <v>28</v>
      </c>
      <c r="T41" s="24">
        <f t="shared" si="4"/>
        <v>1</v>
      </c>
      <c r="U41" s="28">
        <f t="shared" si="5"/>
        <v>4</v>
      </c>
      <c r="V41" s="18"/>
    </row>
    <row r="42">
      <c r="A42" s="23"/>
      <c r="B42" s="24">
        <v>39.0</v>
      </c>
      <c r="C42" s="25" t="s">
        <v>21</v>
      </c>
      <c r="D42" s="26" t="s">
        <v>148</v>
      </c>
      <c r="E42" s="26" t="s">
        <v>149</v>
      </c>
      <c r="F42" s="24">
        <v>3.0</v>
      </c>
      <c r="G42" s="24">
        <v>4.0</v>
      </c>
      <c r="H42" s="24">
        <v>4.0</v>
      </c>
      <c r="I42" s="24">
        <v>3.0</v>
      </c>
      <c r="J42" s="24">
        <v>2.0</v>
      </c>
      <c r="K42" s="25">
        <f t="shared" si="1"/>
        <v>4</v>
      </c>
      <c r="L42" s="25" t="s">
        <v>27</v>
      </c>
      <c r="M42" s="25" t="s">
        <v>39</v>
      </c>
      <c r="N42" s="24">
        <f t="shared" si="2"/>
        <v>2</v>
      </c>
      <c r="O42" s="28">
        <f t="shared" si="6"/>
        <v>8</v>
      </c>
      <c r="P42" s="28">
        <f>VLOOKUP(O42,SLTS!$A$1:$B$27,2)</f>
        <v>2</v>
      </c>
      <c r="Q42" s="26" t="s">
        <v>150</v>
      </c>
      <c r="R42" s="30" t="s">
        <v>35</v>
      </c>
      <c r="S42" s="32" t="s">
        <v>28</v>
      </c>
      <c r="T42" s="24">
        <f t="shared" si="4"/>
        <v>1</v>
      </c>
      <c r="U42" s="28">
        <f t="shared" si="5"/>
        <v>4</v>
      </c>
      <c r="V42" s="18"/>
    </row>
    <row r="43">
      <c r="A43" s="23"/>
      <c r="B43" s="24">
        <v>40.0</v>
      </c>
      <c r="C43" s="25" t="s">
        <v>151</v>
      </c>
      <c r="D43" s="26" t="s">
        <v>152</v>
      </c>
      <c r="E43" s="26" t="s">
        <v>153</v>
      </c>
      <c r="F43" s="24">
        <v>4.0</v>
      </c>
      <c r="G43" s="24">
        <v>3.0</v>
      </c>
      <c r="H43" s="24">
        <v>4.0</v>
      </c>
      <c r="I43" s="24">
        <v>4.0</v>
      </c>
      <c r="J43" s="24">
        <v>2.0</v>
      </c>
      <c r="K43" s="25">
        <f t="shared" si="1"/>
        <v>4</v>
      </c>
      <c r="L43" s="25" t="s">
        <v>24</v>
      </c>
      <c r="M43" s="25" t="s">
        <v>39</v>
      </c>
      <c r="N43" s="24">
        <f t="shared" si="2"/>
        <v>3</v>
      </c>
      <c r="O43" s="28">
        <f t="shared" si="6"/>
        <v>12</v>
      </c>
      <c r="P43" s="28">
        <f>VLOOKUP(O43,SLTS!$A$1:$B$27,2)</f>
        <v>2</v>
      </c>
      <c r="Q43" s="26" t="s">
        <v>154</v>
      </c>
      <c r="R43" s="32" t="s">
        <v>35</v>
      </c>
      <c r="S43" s="32" t="s">
        <v>28</v>
      </c>
      <c r="T43" s="24">
        <f t="shared" si="4"/>
        <v>1</v>
      </c>
      <c r="U43" s="28">
        <f t="shared" si="5"/>
        <v>4</v>
      </c>
      <c r="V43" s="18"/>
    </row>
    <row r="44">
      <c r="A44" s="23"/>
      <c r="B44" s="24">
        <v>41.0</v>
      </c>
      <c r="C44" s="25" t="s">
        <v>21</v>
      </c>
      <c r="D44" s="26" t="s">
        <v>155</v>
      </c>
      <c r="E44" s="26" t="s">
        <v>156</v>
      </c>
      <c r="F44" s="24">
        <v>3.0</v>
      </c>
      <c r="G44" s="24">
        <v>4.0</v>
      </c>
      <c r="H44" s="24">
        <v>5.0</v>
      </c>
      <c r="I44" s="24">
        <v>4.0</v>
      </c>
      <c r="J44" s="24">
        <v>2.0</v>
      </c>
      <c r="K44" s="25">
        <f t="shared" si="1"/>
        <v>5</v>
      </c>
      <c r="L44" s="25" t="s">
        <v>24</v>
      </c>
      <c r="M44" s="25" t="s">
        <v>39</v>
      </c>
      <c r="N44" s="24">
        <f t="shared" si="2"/>
        <v>3</v>
      </c>
      <c r="O44" s="28">
        <f t="shared" si="6"/>
        <v>15</v>
      </c>
      <c r="P44" s="28">
        <f>VLOOKUP(O44,SLTS!$A$1:$B$27,2)</f>
        <v>3</v>
      </c>
      <c r="Q44" s="26" t="s">
        <v>157</v>
      </c>
      <c r="R44" s="32" t="s">
        <v>27</v>
      </c>
      <c r="S44" s="32" t="s">
        <v>47</v>
      </c>
      <c r="T44" s="24">
        <f t="shared" si="4"/>
        <v>2</v>
      </c>
      <c r="U44" s="28">
        <f t="shared" si="5"/>
        <v>10</v>
      </c>
      <c r="V44" s="18"/>
    </row>
    <row r="45">
      <c r="A45" s="23"/>
      <c r="B45" s="24">
        <v>42.0</v>
      </c>
      <c r="C45" s="25" t="s">
        <v>21</v>
      </c>
      <c r="D45" s="26" t="s">
        <v>158</v>
      </c>
      <c r="E45" s="26" t="s">
        <v>159</v>
      </c>
      <c r="F45" s="24">
        <v>4.0</v>
      </c>
      <c r="G45" s="24">
        <v>4.0</v>
      </c>
      <c r="H45" s="24">
        <v>4.0</v>
      </c>
      <c r="I45" s="24">
        <v>3.0</v>
      </c>
      <c r="J45" s="24">
        <v>2.0</v>
      </c>
      <c r="K45" s="25">
        <f t="shared" si="1"/>
        <v>4</v>
      </c>
      <c r="L45" s="25" t="s">
        <v>24</v>
      </c>
      <c r="M45" s="25" t="s">
        <v>25</v>
      </c>
      <c r="N45" s="24">
        <f t="shared" si="2"/>
        <v>3</v>
      </c>
      <c r="O45" s="28">
        <f t="shared" si="6"/>
        <v>12</v>
      </c>
      <c r="P45" s="28">
        <f>VLOOKUP(O45,SLTS!$A$1:$B$27,2)</f>
        <v>2</v>
      </c>
      <c r="Q45" s="26" t="s">
        <v>160</v>
      </c>
      <c r="R45" s="30" t="s">
        <v>35</v>
      </c>
      <c r="S45" s="32" t="s">
        <v>47</v>
      </c>
      <c r="T45" s="24">
        <f t="shared" si="4"/>
        <v>2</v>
      </c>
      <c r="U45" s="28">
        <f t="shared" si="5"/>
        <v>8</v>
      </c>
      <c r="V45" s="18"/>
    </row>
    <row r="46">
      <c r="A46" s="23"/>
      <c r="B46" s="24">
        <v>43.0</v>
      </c>
      <c r="C46" s="25" t="s">
        <v>78</v>
      </c>
      <c r="D46" s="26" t="s">
        <v>161</v>
      </c>
      <c r="E46" s="26" t="s">
        <v>162</v>
      </c>
      <c r="F46" s="24">
        <v>3.0</v>
      </c>
      <c r="G46" s="24">
        <v>4.0</v>
      </c>
      <c r="H46" s="24">
        <v>4.0</v>
      </c>
      <c r="I46" s="24">
        <v>3.0</v>
      </c>
      <c r="J46" s="24">
        <v>2.0</v>
      </c>
      <c r="K46" s="25">
        <f t="shared" si="1"/>
        <v>4</v>
      </c>
      <c r="L46" s="25" t="s">
        <v>24</v>
      </c>
      <c r="M46" s="25" t="s">
        <v>39</v>
      </c>
      <c r="N46" s="24">
        <f t="shared" si="2"/>
        <v>3</v>
      </c>
      <c r="O46" s="28">
        <f t="shared" si="6"/>
        <v>12</v>
      </c>
      <c r="P46" s="28">
        <f>VLOOKUP(O46,SLTS!$A$1:$B$27,2)</f>
        <v>2</v>
      </c>
      <c r="Q46" s="26" t="s">
        <v>163</v>
      </c>
      <c r="R46" s="30" t="s">
        <v>35</v>
      </c>
      <c r="S46" s="32" t="s">
        <v>28</v>
      </c>
      <c r="T46" s="24">
        <f t="shared" si="4"/>
        <v>1</v>
      </c>
      <c r="U46" s="28">
        <f t="shared" si="5"/>
        <v>4</v>
      </c>
      <c r="V46" s="18"/>
    </row>
    <row r="47">
      <c r="A47" s="23"/>
      <c r="B47" s="24">
        <v>44.0</v>
      </c>
      <c r="C47" s="25" t="s">
        <v>92</v>
      </c>
      <c r="D47" s="26" t="s">
        <v>164</v>
      </c>
      <c r="E47" s="26" t="s">
        <v>165</v>
      </c>
      <c r="F47" s="24">
        <v>3.0</v>
      </c>
      <c r="G47" s="24">
        <v>4.0</v>
      </c>
      <c r="H47" s="24">
        <v>4.0</v>
      </c>
      <c r="I47" s="24">
        <v>3.0</v>
      </c>
      <c r="J47" s="24">
        <v>2.0</v>
      </c>
      <c r="K47" s="25">
        <f t="shared" si="1"/>
        <v>4</v>
      </c>
      <c r="L47" s="25" t="s">
        <v>24</v>
      </c>
      <c r="M47" s="25" t="s">
        <v>25</v>
      </c>
      <c r="N47" s="24">
        <f t="shared" si="2"/>
        <v>3</v>
      </c>
      <c r="O47" s="28">
        <f t="shared" si="6"/>
        <v>12</v>
      </c>
      <c r="P47" s="28">
        <f>VLOOKUP(O47,SLTS!$A$1:$B$27,2)</f>
        <v>2</v>
      </c>
      <c r="Q47" s="26" t="s">
        <v>166</v>
      </c>
      <c r="R47" s="30" t="s">
        <v>35</v>
      </c>
      <c r="S47" s="32" t="s">
        <v>47</v>
      </c>
      <c r="T47" s="24">
        <f t="shared" si="4"/>
        <v>2</v>
      </c>
      <c r="U47" s="28">
        <f t="shared" si="5"/>
        <v>8</v>
      </c>
      <c r="V47" s="18"/>
    </row>
    <row r="48">
      <c r="A48" s="23"/>
      <c r="B48" s="24">
        <v>45.0</v>
      </c>
      <c r="C48" s="25" t="s">
        <v>21</v>
      </c>
      <c r="D48" s="26" t="s">
        <v>167</v>
      </c>
      <c r="E48" s="26" t="s">
        <v>168</v>
      </c>
      <c r="F48" s="24">
        <v>3.0</v>
      </c>
      <c r="G48" s="24">
        <v>3.0</v>
      </c>
      <c r="H48" s="24">
        <v>4.0</v>
      </c>
      <c r="I48" s="24">
        <v>3.0</v>
      </c>
      <c r="J48" s="24">
        <v>2.0</v>
      </c>
      <c r="K48" s="25">
        <f t="shared" si="1"/>
        <v>4</v>
      </c>
      <c r="L48" s="25" t="s">
        <v>24</v>
      </c>
      <c r="M48" s="25" t="s">
        <v>47</v>
      </c>
      <c r="N48" s="24">
        <f t="shared" si="2"/>
        <v>2</v>
      </c>
      <c r="O48" s="28">
        <f t="shared" si="6"/>
        <v>8</v>
      </c>
      <c r="P48" s="28">
        <f>VLOOKUP(O48,SLTS!$A$1:$B$27,2)</f>
        <v>2</v>
      </c>
      <c r="Q48" s="26" t="s">
        <v>169</v>
      </c>
      <c r="R48" s="30" t="s">
        <v>35</v>
      </c>
      <c r="S48" s="32" t="s">
        <v>28</v>
      </c>
      <c r="T48" s="24">
        <f t="shared" si="4"/>
        <v>1</v>
      </c>
      <c r="U48" s="28">
        <f t="shared" si="5"/>
        <v>4</v>
      </c>
      <c r="V48" s="18"/>
    </row>
    <row r="49">
      <c r="A49" s="23"/>
      <c r="B49" s="24">
        <v>46.0</v>
      </c>
      <c r="C49" s="25" t="s">
        <v>21</v>
      </c>
      <c r="D49" s="26" t="s">
        <v>170</v>
      </c>
      <c r="E49" s="26" t="s">
        <v>171</v>
      </c>
      <c r="F49" s="24">
        <v>3.0</v>
      </c>
      <c r="G49" s="24">
        <v>3.0</v>
      </c>
      <c r="H49" s="24">
        <v>4.0</v>
      </c>
      <c r="I49" s="24">
        <v>3.0</v>
      </c>
      <c r="J49" s="24">
        <v>2.0</v>
      </c>
      <c r="K49" s="25">
        <f t="shared" si="1"/>
        <v>4</v>
      </c>
      <c r="L49" s="25" t="s">
        <v>24</v>
      </c>
      <c r="M49" s="25" t="s">
        <v>47</v>
      </c>
      <c r="N49" s="24">
        <f t="shared" si="2"/>
        <v>2</v>
      </c>
      <c r="O49" s="28">
        <f t="shared" si="6"/>
        <v>8</v>
      </c>
      <c r="P49" s="28">
        <f>VLOOKUP(O49,SLTS!$A$1:$B$27,2)</f>
        <v>2</v>
      </c>
      <c r="Q49" s="26" t="s">
        <v>172</v>
      </c>
      <c r="R49" s="32" t="s">
        <v>35</v>
      </c>
      <c r="S49" s="32" t="s">
        <v>28</v>
      </c>
      <c r="T49" s="24">
        <f t="shared" si="4"/>
        <v>1</v>
      </c>
      <c r="U49" s="28">
        <f t="shared" si="5"/>
        <v>4</v>
      </c>
      <c r="V49" s="18"/>
    </row>
    <row r="50">
      <c r="A50" s="23"/>
      <c r="B50" s="24">
        <v>47.0</v>
      </c>
      <c r="C50" s="25" t="s">
        <v>21</v>
      </c>
      <c r="D50" s="26" t="s">
        <v>173</v>
      </c>
      <c r="E50" s="26" t="s">
        <v>174</v>
      </c>
      <c r="F50" s="24">
        <v>3.0</v>
      </c>
      <c r="G50" s="24">
        <v>5.0</v>
      </c>
      <c r="H50" s="24">
        <v>5.0</v>
      </c>
      <c r="I50" s="24">
        <v>3.0</v>
      </c>
      <c r="J50" s="24">
        <v>3.0</v>
      </c>
      <c r="K50" s="25">
        <f t="shared" si="1"/>
        <v>5</v>
      </c>
      <c r="L50" s="25" t="s">
        <v>35</v>
      </c>
      <c r="M50" s="25" t="s">
        <v>47</v>
      </c>
      <c r="N50" s="24">
        <f t="shared" si="2"/>
        <v>2</v>
      </c>
      <c r="O50" s="28">
        <f t="shared" si="6"/>
        <v>10</v>
      </c>
      <c r="P50" s="28">
        <f>VLOOKUP(O50,SLTS!$A$1:$B$27,2)</f>
        <v>2</v>
      </c>
      <c r="Q50" s="26" t="s">
        <v>175</v>
      </c>
      <c r="R50" s="30" t="s">
        <v>35</v>
      </c>
      <c r="S50" s="32" t="s">
        <v>28</v>
      </c>
      <c r="T50" s="24">
        <f t="shared" si="4"/>
        <v>1</v>
      </c>
      <c r="U50" s="28">
        <f t="shared" si="5"/>
        <v>5</v>
      </c>
      <c r="V50" s="18"/>
    </row>
    <row r="51">
      <c r="B51" s="18"/>
      <c r="C51" s="38"/>
      <c r="D51" s="38"/>
      <c r="E51" s="38"/>
      <c r="F51" s="18"/>
      <c r="G51" s="18"/>
      <c r="H51" s="18"/>
      <c r="I51" s="18"/>
      <c r="J51" s="18"/>
      <c r="K51" s="38"/>
      <c r="L51" s="38"/>
      <c r="M51" s="25" t="s">
        <v>176</v>
      </c>
      <c r="N51" s="24">
        <f t="shared" ref="N51:P51" si="7">MAX(N4:N7)</f>
        <v>3</v>
      </c>
      <c r="O51" s="28">
        <f t="shared" si="7"/>
        <v>12</v>
      </c>
      <c r="P51" s="28">
        <f t="shared" si="7"/>
        <v>2</v>
      </c>
      <c r="Q51" s="39"/>
      <c r="R51" s="40"/>
      <c r="S51" s="25"/>
      <c r="T51" s="41">
        <f t="shared" ref="T51:U51" si="8">MAX(T4:T7)</f>
        <v>2</v>
      </c>
      <c r="U51" s="28">
        <f t="shared" si="8"/>
        <v>8</v>
      </c>
      <c r="V51" s="18"/>
    </row>
    <row r="52">
      <c r="C52" s="42"/>
      <c r="D52" s="42"/>
      <c r="E52" s="42"/>
      <c r="K52" s="42"/>
      <c r="L52" s="42"/>
      <c r="M52" s="42"/>
      <c r="N52" s="43"/>
      <c r="Q52" s="44"/>
      <c r="R52" s="45"/>
      <c r="S52" s="42"/>
      <c r="T52" s="43"/>
    </row>
    <row r="53">
      <c r="C53" s="42"/>
      <c r="D53" s="42"/>
      <c r="E53" s="42"/>
      <c r="K53" s="42"/>
      <c r="L53" s="42"/>
      <c r="M53" s="42"/>
      <c r="O53" s="23"/>
      <c r="Q53" s="44"/>
      <c r="R53" s="45"/>
      <c r="S53" s="45"/>
    </row>
    <row r="54">
      <c r="C54" s="42"/>
      <c r="D54" s="42"/>
      <c r="E54" s="42"/>
      <c r="K54" s="42"/>
      <c r="L54" s="42"/>
      <c r="M54" s="42"/>
      <c r="N54" s="23"/>
      <c r="Q54" s="42"/>
      <c r="R54" s="45"/>
      <c r="S54" s="45"/>
    </row>
    <row r="55">
      <c r="C55" s="42"/>
      <c r="D55" s="42"/>
      <c r="E55" s="42"/>
      <c r="K55" s="42"/>
      <c r="L55" s="42"/>
      <c r="M55" s="42"/>
      <c r="N55" s="23"/>
      <c r="Q55" s="42"/>
      <c r="R55" s="45"/>
      <c r="S55" s="45"/>
    </row>
    <row r="56">
      <c r="C56" s="42"/>
      <c r="D56" s="42"/>
      <c r="E56" s="42"/>
      <c r="K56" s="42"/>
      <c r="L56" s="42"/>
      <c r="M56" s="42"/>
      <c r="N56" s="23"/>
      <c r="Q56" s="42"/>
      <c r="R56" s="45"/>
      <c r="S56" s="45"/>
    </row>
    <row r="57">
      <c r="C57" s="42"/>
      <c r="D57" s="42"/>
      <c r="E57" s="42"/>
      <c r="K57" s="42"/>
      <c r="L57" s="42"/>
      <c r="M57" s="42"/>
      <c r="N57" s="23"/>
      <c r="Q57" s="42"/>
      <c r="R57" s="45"/>
      <c r="S57" s="45"/>
    </row>
    <row r="58">
      <c r="C58" s="42"/>
      <c r="D58" s="42"/>
      <c r="E58" s="42"/>
      <c r="K58" s="42"/>
      <c r="L58" s="42"/>
      <c r="M58" s="42"/>
      <c r="N58" s="23"/>
      <c r="Q58" s="42"/>
      <c r="R58" s="45"/>
      <c r="S58" s="45"/>
    </row>
    <row r="59">
      <c r="C59" s="42"/>
      <c r="D59" s="42"/>
      <c r="E59" s="42"/>
      <c r="K59" s="42"/>
      <c r="L59" s="42"/>
      <c r="M59" s="42"/>
      <c r="N59" s="23"/>
      <c r="Q59" s="42"/>
      <c r="R59" s="45"/>
      <c r="S59" s="45"/>
    </row>
    <row r="60">
      <c r="C60" s="42"/>
      <c r="D60" s="42"/>
      <c r="E60" s="42"/>
      <c r="K60" s="42"/>
      <c r="L60" s="42"/>
      <c r="M60" s="42"/>
      <c r="N60" s="23"/>
      <c r="Q60" s="42"/>
      <c r="R60" s="45"/>
      <c r="S60" s="45"/>
    </row>
    <row r="61">
      <c r="C61" s="42"/>
      <c r="D61" s="42"/>
      <c r="E61" s="42"/>
      <c r="K61" s="42"/>
      <c r="L61" s="42"/>
      <c r="M61" s="42"/>
      <c r="N61" s="23"/>
      <c r="Q61" s="42"/>
      <c r="R61" s="45"/>
      <c r="S61" s="45"/>
    </row>
    <row r="62">
      <c r="C62" s="42"/>
      <c r="D62" s="42"/>
      <c r="E62" s="42"/>
      <c r="K62" s="42"/>
      <c r="L62" s="42"/>
      <c r="M62" s="42"/>
      <c r="N62" s="23"/>
      <c r="Q62" s="42"/>
      <c r="R62" s="45"/>
      <c r="S62" s="45"/>
    </row>
    <row r="63">
      <c r="C63" s="42"/>
      <c r="D63" s="42"/>
      <c r="E63" s="42"/>
      <c r="K63" s="42"/>
      <c r="L63" s="42"/>
      <c r="M63" s="42"/>
      <c r="N63" s="23"/>
      <c r="Q63" s="42"/>
      <c r="R63" s="45"/>
      <c r="S63" s="45"/>
    </row>
    <row r="64" hidden="1">
      <c r="C64" s="42"/>
      <c r="D64" s="42"/>
      <c r="E64" s="42"/>
      <c r="J64" s="3" t="s">
        <v>177</v>
      </c>
      <c r="K64" s="46"/>
      <c r="L64" s="46" t="s">
        <v>35</v>
      </c>
      <c r="M64" s="46" t="s">
        <v>27</v>
      </c>
      <c r="N64" s="3" t="s">
        <v>24</v>
      </c>
      <c r="O64" s="3" t="s">
        <v>38</v>
      </c>
      <c r="P64" s="3" t="s">
        <v>178</v>
      </c>
      <c r="Q64" s="47"/>
      <c r="R64" s="47"/>
    </row>
    <row r="65" hidden="1">
      <c r="C65" s="42"/>
      <c r="D65" s="42"/>
      <c r="E65" s="42"/>
      <c r="J65" s="23" t="s">
        <v>28</v>
      </c>
      <c r="K65" s="43"/>
      <c r="L65" s="43" t="s">
        <v>179</v>
      </c>
      <c r="M65" s="43" t="s">
        <v>180</v>
      </c>
      <c r="N65" s="23" t="s">
        <v>180</v>
      </c>
      <c r="O65" s="23" t="s">
        <v>180</v>
      </c>
      <c r="P65" s="23" t="s">
        <v>180</v>
      </c>
      <c r="Q65" s="45"/>
      <c r="R65" s="45"/>
    </row>
    <row r="66" hidden="1">
      <c r="C66" s="42"/>
      <c r="D66" s="42"/>
      <c r="E66" s="42"/>
      <c r="J66" s="23" t="s">
        <v>47</v>
      </c>
      <c r="K66" s="43"/>
      <c r="L66" s="43" t="s">
        <v>180</v>
      </c>
      <c r="M66" s="43" t="s">
        <v>180</v>
      </c>
      <c r="N66" s="23" t="s">
        <v>180</v>
      </c>
      <c r="O66" s="23" t="s">
        <v>181</v>
      </c>
      <c r="P66" s="23" t="s">
        <v>181</v>
      </c>
      <c r="Q66" s="45"/>
      <c r="R66" s="45"/>
    </row>
    <row r="67" hidden="1">
      <c r="C67" s="42"/>
      <c r="D67" s="42"/>
      <c r="E67" s="42"/>
      <c r="J67" s="23" t="s">
        <v>39</v>
      </c>
      <c r="K67" s="43"/>
      <c r="L67" s="43" t="s">
        <v>180</v>
      </c>
      <c r="M67" s="43" t="s">
        <v>180</v>
      </c>
      <c r="N67" s="23" t="s">
        <v>181</v>
      </c>
      <c r="O67" s="23" t="s">
        <v>181</v>
      </c>
      <c r="P67" s="23" t="s">
        <v>182</v>
      </c>
      <c r="Q67" s="45"/>
      <c r="R67" s="45"/>
    </row>
    <row r="68" hidden="1">
      <c r="C68" s="42"/>
      <c r="D68" s="42"/>
      <c r="E68" s="42"/>
      <c r="J68" s="23" t="s">
        <v>25</v>
      </c>
      <c r="K68" s="43"/>
      <c r="L68" s="43" t="s">
        <v>180</v>
      </c>
      <c r="M68" s="43" t="s">
        <v>181</v>
      </c>
      <c r="N68" s="23" t="s">
        <v>181</v>
      </c>
      <c r="O68" s="23" t="s">
        <v>182</v>
      </c>
      <c r="P68" s="23" t="s">
        <v>182</v>
      </c>
      <c r="Q68" s="45"/>
      <c r="R68" s="45"/>
    </row>
    <row r="69" hidden="1">
      <c r="C69" s="42"/>
      <c r="D69" s="42"/>
      <c r="E69" s="42"/>
      <c r="J69" s="23" t="s">
        <v>90</v>
      </c>
      <c r="K69" s="43"/>
      <c r="L69" s="43" t="s">
        <v>180</v>
      </c>
      <c r="M69" s="43" t="s">
        <v>181</v>
      </c>
      <c r="N69" s="23" t="s">
        <v>182</v>
      </c>
      <c r="O69" s="23" t="s">
        <v>182</v>
      </c>
      <c r="P69" s="23" t="s">
        <v>183</v>
      </c>
      <c r="Q69" s="45"/>
      <c r="R69" s="45"/>
    </row>
    <row r="70">
      <c r="C70" s="42"/>
      <c r="D70" s="42"/>
      <c r="E70" s="42"/>
      <c r="K70" s="42"/>
      <c r="L70" s="42"/>
      <c r="M70" s="42"/>
      <c r="N70" s="23"/>
      <c r="Q70" s="42"/>
      <c r="R70" s="45"/>
      <c r="S70" s="45"/>
    </row>
    <row r="71">
      <c r="C71" s="42"/>
      <c r="D71" s="42"/>
      <c r="E71" s="42"/>
      <c r="K71" s="42"/>
      <c r="L71" s="42"/>
      <c r="M71" s="42"/>
      <c r="N71" s="23"/>
      <c r="Q71" s="42"/>
      <c r="R71" s="45"/>
      <c r="S71" s="45"/>
    </row>
    <row r="72">
      <c r="C72" s="42"/>
      <c r="D72" s="42"/>
      <c r="E72" s="42"/>
      <c r="K72" s="42"/>
      <c r="L72" s="42"/>
      <c r="M72" s="42"/>
      <c r="N72" s="23"/>
      <c r="Q72" s="42"/>
      <c r="R72" s="45"/>
      <c r="S72" s="45"/>
    </row>
    <row r="73">
      <c r="C73" s="42"/>
      <c r="D73" s="42"/>
      <c r="E73" s="42"/>
      <c r="K73" s="42"/>
      <c r="L73" s="42"/>
      <c r="M73" s="42"/>
      <c r="N73" s="23"/>
      <c r="Q73" s="42"/>
      <c r="R73" s="45"/>
      <c r="S73" s="45"/>
    </row>
    <row r="74">
      <c r="C74" s="42"/>
      <c r="D74" s="42"/>
      <c r="E74" s="42"/>
      <c r="K74" s="42"/>
      <c r="L74" s="42"/>
      <c r="M74" s="42"/>
      <c r="N74" s="23"/>
      <c r="Q74" s="42"/>
      <c r="R74" s="45"/>
      <c r="S74" s="45"/>
    </row>
    <row r="75">
      <c r="C75" s="42"/>
      <c r="D75" s="42"/>
      <c r="E75" s="42"/>
      <c r="K75" s="42"/>
      <c r="L75" s="42"/>
      <c r="M75" s="42"/>
      <c r="Q75" s="42"/>
      <c r="R75" s="45"/>
      <c r="S75" s="45"/>
    </row>
    <row r="76">
      <c r="C76" s="42"/>
      <c r="D76" s="42"/>
      <c r="E76" s="42"/>
      <c r="K76" s="42"/>
      <c r="L76" s="42"/>
      <c r="M76" s="42"/>
      <c r="Q76" s="42"/>
      <c r="R76" s="45"/>
      <c r="S76" s="45"/>
    </row>
    <row r="77">
      <c r="C77" s="42"/>
      <c r="D77" s="42"/>
      <c r="E77" s="42"/>
      <c r="K77" s="42"/>
      <c r="L77" s="42"/>
      <c r="M77" s="42"/>
      <c r="Q77" s="42"/>
      <c r="R77" s="45"/>
      <c r="S77" s="45"/>
    </row>
    <row r="78">
      <c r="C78" s="42"/>
      <c r="D78" s="42"/>
      <c r="E78" s="42"/>
      <c r="K78" s="42"/>
      <c r="L78" s="42"/>
      <c r="M78" s="42"/>
      <c r="Q78" s="42"/>
      <c r="R78" s="45"/>
      <c r="S78" s="45"/>
    </row>
    <row r="79">
      <c r="C79" s="42"/>
      <c r="D79" s="42"/>
      <c r="E79" s="42"/>
      <c r="K79" s="42"/>
      <c r="L79" s="42"/>
      <c r="M79" s="42"/>
      <c r="Q79" s="42"/>
      <c r="R79" s="45"/>
      <c r="S79" s="45"/>
    </row>
    <row r="80">
      <c r="C80" s="42"/>
      <c r="D80" s="42"/>
      <c r="E80" s="42"/>
      <c r="K80" s="42"/>
      <c r="L80" s="42"/>
      <c r="M80" s="42"/>
      <c r="Q80" s="42"/>
      <c r="R80" s="45"/>
      <c r="S80" s="45"/>
    </row>
    <row r="81">
      <c r="C81" s="42"/>
      <c r="D81" s="42"/>
      <c r="E81" s="42"/>
      <c r="K81" s="42"/>
      <c r="L81" s="42"/>
      <c r="M81" s="42"/>
      <c r="Q81" s="42"/>
      <c r="R81" s="45"/>
      <c r="S81" s="45"/>
    </row>
    <row r="82">
      <c r="C82" s="42"/>
      <c r="D82" s="42"/>
      <c r="E82" s="42"/>
      <c r="K82" s="42"/>
      <c r="L82" s="42"/>
      <c r="M82" s="42"/>
      <c r="Q82" s="42"/>
      <c r="R82" s="45"/>
      <c r="S82" s="45"/>
    </row>
    <row r="83">
      <c r="C83" s="42"/>
      <c r="D83" s="42"/>
      <c r="E83" s="42"/>
      <c r="K83" s="42"/>
      <c r="L83" s="42"/>
      <c r="M83" s="42"/>
      <c r="Q83" s="42"/>
      <c r="R83" s="45"/>
      <c r="S83" s="45"/>
    </row>
    <row r="84">
      <c r="C84" s="42"/>
      <c r="D84" s="42"/>
      <c r="E84" s="42"/>
      <c r="K84" s="42"/>
      <c r="L84" s="42"/>
      <c r="M84" s="42"/>
      <c r="Q84" s="42"/>
      <c r="R84" s="45"/>
      <c r="S84" s="45"/>
    </row>
    <row r="85">
      <c r="C85" s="42"/>
      <c r="D85" s="42"/>
      <c r="E85" s="42"/>
      <c r="K85" s="42"/>
      <c r="L85" s="42"/>
      <c r="M85" s="42"/>
      <c r="Q85" s="42"/>
      <c r="R85" s="45"/>
      <c r="S85" s="45"/>
    </row>
    <row r="86">
      <c r="C86" s="42"/>
      <c r="D86" s="42"/>
      <c r="E86" s="42"/>
      <c r="K86" s="42"/>
      <c r="L86" s="42"/>
      <c r="M86" s="42"/>
      <c r="Q86" s="42"/>
      <c r="R86" s="45"/>
      <c r="S86" s="45"/>
    </row>
    <row r="87">
      <c r="C87" s="42"/>
      <c r="D87" s="42"/>
      <c r="E87" s="42"/>
      <c r="K87" s="42"/>
      <c r="L87" s="42"/>
      <c r="M87" s="42"/>
      <c r="Q87" s="42"/>
      <c r="R87" s="45"/>
      <c r="S87" s="45"/>
    </row>
    <row r="88">
      <c r="C88" s="42"/>
      <c r="D88" s="42"/>
      <c r="E88" s="42"/>
      <c r="K88" s="42"/>
      <c r="L88" s="42"/>
      <c r="M88" s="42"/>
      <c r="Q88" s="42"/>
      <c r="R88" s="45"/>
      <c r="S88" s="45"/>
    </row>
    <row r="89">
      <c r="C89" s="42"/>
      <c r="D89" s="42"/>
      <c r="E89" s="42"/>
      <c r="K89" s="42"/>
      <c r="L89" s="42"/>
      <c r="M89" s="42"/>
      <c r="Q89" s="42"/>
      <c r="R89" s="45"/>
      <c r="S89" s="45"/>
    </row>
    <row r="90">
      <c r="C90" s="42"/>
      <c r="D90" s="42"/>
      <c r="E90" s="42"/>
      <c r="K90" s="42"/>
      <c r="L90" s="42"/>
      <c r="M90" s="42"/>
      <c r="Q90" s="42"/>
      <c r="R90" s="45"/>
      <c r="S90" s="45"/>
    </row>
    <row r="91">
      <c r="C91" s="42"/>
      <c r="D91" s="42"/>
      <c r="E91" s="42"/>
      <c r="K91" s="42"/>
      <c r="L91" s="42"/>
      <c r="M91" s="42"/>
      <c r="Q91" s="42"/>
      <c r="R91" s="45"/>
      <c r="S91" s="45"/>
    </row>
    <row r="92">
      <c r="C92" s="42"/>
      <c r="D92" s="42"/>
      <c r="E92" s="42"/>
      <c r="K92" s="42"/>
      <c r="L92" s="42"/>
      <c r="M92" s="42"/>
      <c r="Q92" s="42"/>
      <c r="R92" s="45"/>
      <c r="S92" s="45"/>
    </row>
    <row r="93">
      <c r="C93" s="42"/>
      <c r="D93" s="42"/>
      <c r="E93" s="42"/>
      <c r="K93" s="42"/>
      <c r="L93" s="42"/>
      <c r="M93" s="42"/>
      <c r="Q93" s="42"/>
      <c r="R93" s="45"/>
      <c r="S93" s="45"/>
    </row>
    <row r="94">
      <c r="C94" s="42"/>
      <c r="D94" s="42"/>
      <c r="E94" s="42"/>
      <c r="K94" s="42"/>
      <c r="L94" s="42"/>
      <c r="M94" s="42"/>
      <c r="Q94" s="42"/>
      <c r="R94" s="45"/>
      <c r="S94" s="45"/>
    </row>
    <row r="95">
      <c r="C95" s="42"/>
      <c r="D95" s="42"/>
      <c r="E95" s="42"/>
      <c r="K95" s="42"/>
      <c r="L95" s="42"/>
      <c r="M95" s="42"/>
      <c r="Q95" s="42"/>
      <c r="R95" s="45"/>
      <c r="S95" s="45"/>
    </row>
    <row r="96">
      <c r="C96" s="42"/>
      <c r="D96" s="42"/>
      <c r="E96" s="42"/>
      <c r="K96" s="42"/>
      <c r="L96" s="42"/>
      <c r="M96" s="42"/>
      <c r="Q96" s="42"/>
      <c r="R96" s="45"/>
      <c r="S96" s="45"/>
    </row>
    <row r="97">
      <c r="C97" s="42"/>
      <c r="D97" s="42"/>
      <c r="E97" s="42"/>
      <c r="K97" s="42"/>
      <c r="L97" s="42"/>
      <c r="M97" s="42"/>
      <c r="Q97" s="42"/>
      <c r="R97" s="45"/>
      <c r="S97" s="45"/>
    </row>
    <row r="98">
      <c r="C98" s="42"/>
      <c r="D98" s="42"/>
      <c r="E98" s="42"/>
      <c r="K98" s="42"/>
      <c r="L98" s="42"/>
      <c r="M98" s="42"/>
      <c r="Q98" s="42"/>
      <c r="R98" s="45"/>
      <c r="S98" s="45"/>
    </row>
    <row r="99">
      <c r="C99" s="42"/>
      <c r="D99" s="42"/>
      <c r="E99" s="42"/>
      <c r="K99" s="42"/>
      <c r="L99" s="42"/>
      <c r="M99" s="42"/>
      <c r="Q99" s="42"/>
      <c r="R99" s="45"/>
      <c r="S99" s="45"/>
    </row>
    <row r="100">
      <c r="C100" s="42"/>
      <c r="D100" s="42"/>
      <c r="E100" s="42"/>
      <c r="K100" s="42"/>
      <c r="L100" s="42"/>
      <c r="M100" s="42"/>
      <c r="Q100" s="42"/>
      <c r="R100" s="45"/>
      <c r="S100" s="45"/>
    </row>
    <row r="101">
      <c r="C101" s="42"/>
      <c r="D101" s="42"/>
      <c r="E101" s="42"/>
      <c r="K101" s="42"/>
      <c r="L101" s="42"/>
      <c r="M101" s="42"/>
      <c r="Q101" s="42"/>
      <c r="R101" s="45"/>
      <c r="S101" s="45"/>
    </row>
    <row r="102">
      <c r="C102" s="42"/>
      <c r="D102" s="42"/>
      <c r="E102" s="42"/>
      <c r="K102" s="42"/>
      <c r="L102" s="42"/>
      <c r="M102" s="42"/>
      <c r="Q102" s="42"/>
      <c r="R102" s="45"/>
      <c r="S102" s="45"/>
    </row>
    <row r="103">
      <c r="C103" s="42"/>
      <c r="D103" s="42"/>
      <c r="E103" s="42"/>
      <c r="K103" s="42"/>
      <c r="L103" s="42"/>
      <c r="M103" s="42"/>
      <c r="Q103" s="42"/>
      <c r="R103" s="45"/>
      <c r="S103" s="45"/>
    </row>
    <row r="104">
      <c r="C104" s="42"/>
      <c r="D104" s="42"/>
      <c r="E104" s="42"/>
      <c r="K104" s="42"/>
      <c r="L104" s="42"/>
      <c r="M104" s="42"/>
      <c r="Q104" s="42"/>
      <c r="R104" s="45"/>
      <c r="S104" s="45"/>
    </row>
    <row r="105">
      <c r="C105" s="42"/>
      <c r="D105" s="42"/>
      <c r="E105" s="42"/>
      <c r="K105" s="42"/>
      <c r="L105" s="42"/>
      <c r="M105" s="42"/>
      <c r="Q105" s="42"/>
      <c r="R105" s="45"/>
      <c r="S105" s="45"/>
    </row>
    <row r="106">
      <c r="C106" s="42"/>
      <c r="D106" s="42"/>
      <c r="E106" s="42"/>
      <c r="K106" s="42"/>
      <c r="L106" s="42"/>
      <c r="M106" s="42"/>
      <c r="Q106" s="42"/>
      <c r="R106" s="45"/>
      <c r="S106" s="45"/>
    </row>
    <row r="107">
      <c r="C107" s="42"/>
      <c r="D107" s="42"/>
      <c r="E107" s="42"/>
      <c r="K107" s="42"/>
      <c r="L107" s="42"/>
      <c r="M107" s="42"/>
      <c r="Q107" s="42"/>
      <c r="R107" s="45"/>
      <c r="S107" s="45"/>
    </row>
    <row r="108">
      <c r="C108" s="42"/>
      <c r="D108" s="42"/>
      <c r="E108" s="42"/>
      <c r="K108" s="42"/>
      <c r="L108" s="42"/>
      <c r="M108" s="42"/>
      <c r="Q108" s="42"/>
      <c r="R108" s="45"/>
      <c r="S108" s="45"/>
    </row>
    <row r="109">
      <c r="C109" s="42"/>
      <c r="D109" s="42"/>
      <c r="E109" s="42"/>
      <c r="K109" s="42"/>
      <c r="L109" s="42"/>
      <c r="M109" s="42"/>
      <c r="Q109" s="42"/>
      <c r="R109" s="45"/>
      <c r="S109" s="45"/>
    </row>
    <row r="110">
      <c r="C110" s="42"/>
      <c r="D110" s="42"/>
      <c r="E110" s="42"/>
      <c r="K110" s="42"/>
      <c r="L110" s="42"/>
      <c r="M110" s="42"/>
      <c r="Q110" s="42"/>
      <c r="R110" s="45"/>
      <c r="S110" s="45"/>
    </row>
    <row r="111">
      <c r="C111" s="42"/>
      <c r="D111" s="42"/>
      <c r="E111" s="42"/>
      <c r="K111" s="42"/>
      <c r="L111" s="42"/>
      <c r="M111" s="42"/>
      <c r="Q111" s="42"/>
      <c r="R111" s="45"/>
      <c r="S111" s="45"/>
    </row>
    <row r="112">
      <c r="C112" s="42"/>
      <c r="D112" s="42"/>
      <c r="E112" s="42"/>
      <c r="K112" s="42"/>
      <c r="L112" s="42"/>
      <c r="M112" s="42"/>
      <c r="Q112" s="42"/>
      <c r="R112" s="45"/>
      <c r="S112" s="45"/>
    </row>
    <row r="113">
      <c r="C113" s="42"/>
      <c r="D113" s="42"/>
      <c r="E113" s="42"/>
      <c r="K113" s="42"/>
      <c r="L113" s="42"/>
      <c r="M113" s="42"/>
      <c r="Q113" s="42"/>
      <c r="R113" s="45"/>
      <c r="S113" s="45"/>
    </row>
    <row r="114">
      <c r="C114" s="42"/>
      <c r="D114" s="42"/>
      <c r="E114" s="42"/>
      <c r="K114" s="42"/>
      <c r="L114" s="42"/>
      <c r="M114" s="42"/>
      <c r="Q114" s="42"/>
      <c r="R114" s="45"/>
      <c r="S114" s="45"/>
    </row>
    <row r="115">
      <c r="C115" s="42"/>
      <c r="D115" s="42"/>
      <c r="E115" s="42"/>
      <c r="K115" s="42"/>
      <c r="L115" s="42"/>
      <c r="M115" s="42"/>
      <c r="Q115" s="42"/>
      <c r="R115" s="45"/>
      <c r="S115" s="45"/>
    </row>
    <row r="116">
      <c r="C116" s="42"/>
      <c r="D116" s="42"/>
      <c r="E116" s="42"/>
      <c r="K116" s="42"/>
      <c r="L116" s="42"/>
      <c r="M116" s="42"/>
      <c r="Q116" s="42"/>
      <c r="R116" s="45"/>
      <c r="S116" s="45"/>
    </row>
    <row r="117">
      <c r="C117" s="42"/>
      <c r="D117" s="42"/>
      <c r="E117" s="42"/>
      <c r="K117" s="42"/>
      <c r="L117" s="42"/>
      <c r="M117" s="42"/>
      <c r="Q117" s="42"/>
      <c r="R117" s="45"/>
      <c r="S117" s="45"/>
    </row>
    <row r="118">
      <c r="C118" s="42"/>
      <c r="D118" s="42"/>
      <c r="E118" s="42"/>
      <c r="K118" s="42"/>
      <c r="L118" s="42"/>
      <c r="M118" s="42"/>
      <c r="Q118" s="42"/>
      <c r="R118" s="45"/>
      <c r="S118" s="45"/>
    </row>
    <row r="119">
      <c r="C119" s="42"/>
      <c r="D119" s="42"/>
      <c r="E119" s="42"/>
      <c r="K119" s="42"/>
      <c r="L119" s="42"/>
      <c r="M119" s="42"/>
      <c r="Q119" s="42"/>
      <c r="R119" s="45"/>
      <c r="S119" s="45"/>
    </row>
    <row r="120">
      <c r="C120" s="42"/>
      <c r="D120" s="42"/>
      <c r="E120" s="42"/>
      <c r="K120" s="42"/>
      <c r="L120" s="42"/>
      <c r="M120" s="42"/>
      <c r="Q120" s="42"/>
      <c r="R120" s="45"/>
      <c r="S120" s="45"/>
    </row>
    <row r="121">
      <c r="C121" s="42"/>
      <c r="D121" s="42"/>
      <c r="E121" s="42"/>
      <c r="K121" s="42"/>
      <c r="L121" s="42"/>
      <c r="M121" s="42"/>
      <c r="Q121" s="42"/>
      <c r="R121" s="45"/>
      <c r="S121" s="45"/>
    </row>
    <row r="122">
      <c r="C122" s="42"/>
      <c r="D122" s="42"/>
      <c r="E122" s="42"/>
      <c r="K122" s="42"/>
      <c r="L122" s="42"/>
      <c r="M122" s="42"/>
      <c r="Q122" s="42"/>
      <c r="R122" s="45"/>
      <c r="S122" s="45"/>
    </row>
    <row r="123">
      <c r="C123" s="42"/>
      <c r="D123" s="42"/>
      <c r="E123" s="42"/>
      <c r="K123" s="42"/>
      <c r="L123" s="42"/>
      <c r="M123" s="42"/>
      <c r="Q123" s="42"/>
      <c r="R123" s="45"/>
      <c r="S123" s="45"/>
    </row>
    <row r="124">
      <c r="C124" s="42"/>
      <c r="D124" s="42"/>
      <c r="E124" s="42"/>
      <c r="K124" s="42"/>
      <c r="L124" s="42"/>
      <c r="M124" s="42"/>
      <c r="Q124" s="42"/>
      <c r="R124" s="45"/>
      <c r="S124" s="45"/>
    </row>
    <row r="125">
      <c r="C125" s="42"/>
      <c r="D125" s="42"/>
      <c r="E125" s="42"/>
      <c r="K125" s="42"/>
      <c r="L125" s="42"/>
      <c r="M125" s="42"/>
      <c r="Q125" s="42"/>
      <c r="R125" s="45"/>
      <c r="S125" s="45"/>
    </row>
    <row r="126">
      <c r="C126" s="42"/>
      <c r="D126" s="42"/>
      <c r="E126" s="42"/>
      <c r="K126" s="42"/>
      <c r="L126" s="42"/>
      <c r="M126" s="42"/>
      <c r="Q126" s="42"/>
      <c r="R126" s="45"/>
      <c r="S126" s="45"/>
    </row>
    <row r="127">
      <c r="C127" s="42"/>
      <c r="D127" s="42"/>
      <c r="E127" s="42"/>
      <c r="K127" s="42"/>
      <c r="L127" s="42"/>
      <c r="M127" s="42"/>
      <c r="Q127" s="42"/>
      <c r="R127" s="45"/>
      <c r="S127" s="45"/>
    </row>
    <row r="128">
      <c r="C128" s="42"/>
      <c r="D128" s="42"/>
      <c r="E128" s="42"/>
      <c r="K128" s="42"/>
      <c r="L128" s="42"/>
      <c r="M128" s="42"/>
      <c r="Q128" s="42"/>
      <c r="R128" s="45"/>
      <c r="S128" s="45"/>
    </row>
    <row r="129">
      <c r="C129" s="42"/>
      <c r="D129" s="42"/>
      <c r="E129" s="42"/>
      <c r="K129" s="42"/>
      <c r="L129" s="42"/>
      <c r="M129" s="42"/>
      <c r="Q129" s="42"/>
      <c r="R129" s="45"/>
      <c r="S129" s="45"/>
    </row>
    <row r="130">
      <c r="C130" s="42"/>
      <c r="D130" s="42"/>
      <c r="E130" s="42"/>
      <c r="K130" s="42"/>
      <c r="L130" s="42"/>
      <c r="M130" s="42"/>
      <c r="Q130" s="42"/>
      <c r="R130" s="45"/>
      <c r="S130" s="45"/>
    </row>
    <row r="131">
      <c r="C131" s="42"/>
      <c r="D131" s="42"/>
      <c r="E131" s="42"/>
      <c r="K131" s="42"/>
      <c r="L131" s="42"/>
      <c r="M131" s="42"/>
      <c r="Q131" s="42"/>
      <c r="R131" s="45"/>
      <c r="S131" s="45"/>
    </row>
    <row r="132">
      <c r="C132" s="42"/>
      <c r="D132" s="42"/>
      <c r="E132" s="42"/>
      <c r="K132" s="42"/>
      <c r="L132" s="42"/>
      <c r="M132" s="42"/>
      <c r="Q132" s="42"/>
      <c r="R132" s="45"/>
      <c r="S132" s="45"/>
    </row>
    <row r="133">
      <c r="C133" s="42"/>
      <c r="D133" s="42"/>
      <c r="E133" s="42"/>
      <c r="K133" s="42"/>
      <c r="L133" s="42"/>
      <c r="M133" s="42"/>
      <c r="Q133" s="42"/>
      <c r="R133" s="45"/>
      <c r="S133" s="45"/>
    </row>
    <row r="134">
      <c r="C134" s="42"/>
      <c r="D134" s="42"/>
      <c r="E134" s="42"/>
      <c r="K134" s="42"/>
      <c r="L134" s="42"/>
      <c r="M134" s="42"/>
      <c r="Q134" s="42"/>
      <c r="R134" s="45"/>
      <c r="S134" s="45"/>
    </row>
    <row r="135">
      <c r="C135" s="42"/>
      <c r="D135" s="42"/>
      <c r="E135" s="42"/>
      <c r="K135" s="42"/>
      <c r="L135" s="42"/>
      <c r="M135" s="42"/>
      <c r="Q135" s="42"/>
      <c r="R135" s="45"/>
      <c r="S135" s="45"/>
    </row>
    <row r="136">
      <c r="C136" s="42"/>
      <c r="D136" s="42"/>
      <c r="E136" s="42"/>
      <c r="K136" s="42"/>
      <c r="L136" s="42"/>
      <c r="M136" s="42"/>
      <c r="Q136" s="42"/>
      <c r="R136" s="45"/>
      <c r="S136" s="45"/>
    </row>
    <row r="137">
      <c r="C137" s="42"/>
      <c r="D137" s="42"/>
      <c r="E137" s="42"/>
      <c r="K137" s="42"/>
      <c r="L137" s="42"/>
      <c r="M137" s="42"/>
      <c r="Q137" s="42"/>
      <c r="R137" s="45"/>
      <c r="S137" s="45"/>
    </row>
    <row r="138">
      <c r="C138" s="42"/>
      <c r="D138" s="42"/>
      <c r="E138" s="42"/>
      <c r="K138" s="42"/>
      <c r="L138" s="42"/>
      <c r="M138" s="42"/>
      <c r="Q138" s="42"/>
      <c r="R138" s="45"/>
      <c r="S138" s="45"/>
    </row>
    <row r="139">
      <c r="C139" s="42"/>
      <c r="D139" s="42"/>
      <c r="E139" s="42"/>
      <c r="K139" s="42"/>
      <c r="L139" s="42"/>
      <c r="M139" s="42"/>
      <c r="Q139" s="42"/>
      <c r="R139" s="45"/>
      <c r="S139" s="45"/>
    </row>
    <row r="140">
      <c r="C140" s="42"/>
      <c r="D140" s="42"/>
      <c r="E140" s="42"/>
      <c r="K140" s="42"/>
      <c r="L140" s="42"/>
      <c r="M140" s="42"/>
      <c r="Q140" s="42"/>
      <c r="R140" s="45"/>
      <c r="S140" s="45"/>
    </row>
    <row r="141">
      <c r="C141" s="42"/>
      <c r="D141" s="42"/>
      <c r="E141" s="42"/>
      <c r="K141" s="42"/>
      <c r="L141" s="42"/>
      <c r="M141" s="42"/>
      <c r="Q141" s="42"/>
      <c r="R141" s="45"/>
      <c r="S141" s="45"/>
    </row>
    <row r="142">
      <c r="C142" s="42"/>
      <c r="D142" s="42"/>
      <c r="E142" s="42"/>
      <c r="K142" s="42"/>
      <c r="L142" s="42"/>
      <c r="M142" s="42"/>
      <c r="Q142" s="42"/>
      <c r="R142" s="45"/>
      <c r="S142" s="45"/>
    </row>
    <row r="143">
      <c r="C143" s="42"/>
      <c r="D143" s="42"/>
      <c r="E143" s="42"/>
      <c r="K143" s="42"/>
      <c r="L143" s="42"/>
      <c r="M143" s="42"/>
      <c r="Q143" s="42"/>
      <c r="R143" s="45"/>
      <c r="S143" s="45"/>
    </row>
    <row r="144">
      <c r="C144" s="42"/>
      <c r="D144" s="42"/>
      <c r="E144" s="42"/>
      <c r="K144" s="42"/>
      <c r="L144" s="42"/>
      <c r="M144" s="42"/>
      <c r="Q144" s="42"/>
      <c r="R144" s="45"/>
      <c r="S144" s="45"/>
    </row>
    <row r="145">
      <c r="C145" s="42"/>
      <c r="D145" s="42"/>
      <c r="E145" s="42"/>
      <c r="K145" s="42"/>
      <c r="L145" s="42"/>
      <c r="M145" s="42"/>
      <c r="Q145" s="42"/>
      <c r="R145" s="45"/>
      <c r="S145" s="45"/>
    </row>
    <row r="146">
      <c r="C146" s="42"/>
      <c r="D146" s="42"/>
      <c r="E146" s="42"/>
      <c r="K146" s="42"/>
      <c r="L146" s="42"/>
      <c r="M146" s="42"/>
      <c r="Q146" s="42"/>
      <c r="R146" s="45"/>
      <c r="S146" s="45"/>
    </row>
    <row r="147">
      <c r="C147" s="42"/>
      <c r="D147" s="42"/>
      <c r="E147" s="42"/>
      <c r="K147" s="42"/>
      <c r="L147" s="42"/>
      <c r="M147" s="42"/>
      <c r="Q147" s="42"/>
      <c r="R147" s="45"/>
      <c r="S147" s="45"/>
    </row>
    <row r="148">
      <c r="C148" s="42"/>
      <c r="D148" s="42"/>
      <c r="E148" s="42"/>
      <c r="K148" s="42"/>
      <c r="L148" s="42"/>
      <c r="M148" s="42"/>
      <c r="Q148" s="42"/>
      <c r="R148" s="45"/>
      <c r="S148" s="45"/>
    </row>
    <row r="149">
      <c r="C149" s="42"/>
      <c r="D149" s="42"/>
      <c r="E149" s="42"/>
      <c r="K149" s="42"/>
      <c r="L149" s="42"/>
      <c r="M149" s="42"/>
      <c r="Q149" s="42"/>
      <c r="R149" s="45"/>
      <c r="S149" s="45"/>
    </row>
    <row r="150">
      <c r="C150" s="42"/>
      <c r="D150" s="42"/>
      <c r="E150" s="42"/>
      <c r="K150" s="42"/>
      <c r="L150" s="42"/>
      <c r="M150" s="42"/>
      <c r="Q150" s="42"/>
      <c r="R150" s="45"/>
      <c r="S150" s="45"/>
    </row>
    <row r="151">
      <c r="C151" s="42"/>
      <c r="D151" s="42"/>
      <c r="E151" s="42"/>
      <c r="K151" s="42"/>
      <c r="L151" s="42"/>
      <c r="M151" s="42"/>
      <c r="Q151" s="42"/>
      <c r="R151" s="45"/>
      <c r="S151" s="45"/>
    </row>
    <row r="152">
      <c r="C152" s="42"/>
      <c r="D152" s="42"/>
      <c r="E152" s="42"/>
      <c r="K152" s="42"/>
      <c r="L152" s="42"/>
      <c r="M152" s="42"/>
      <c r="Q152" s="42"/>
      <c r="R152" s="45"/>
      <c r="S152" s="45"/>
    </row>
    <row r="153">
      <c r="C153" s="42"/>
      <c r="D153" s="42"/>
      <c r="E153" s="42"/>
      <c r="K153" s="42"/>
      <c r="L153" s="42"/>
      <c r="M153" s="42"/>
      <c r="Q153" s="42"/>
      <c r="R153" s="45"/>
      <c r="S153" s="45"/>
    </row>
    <row r="154">
      <c r="C154" s="42"/>
      <c r="D154" s="42"/>
      <c r="E154" s="42"/>
      <c r="K154" s="42"/>
      <c r="L154" s="42"/>
      <c r="M154" s="42"/>
      <c r="Q154" s="42"/>
      <c r="R154" s="45"/>
      <c r="S154" s="45"/>
    </row>
    <row r="155">
      <c r="C155" s="42"/>
      <c r="D155" s="42"/>
      <c r="E155" s="42"/>
      <c r="K155" s="42"/>
      <c r="L155" s="42"/>
      <c r="M155" s="42"/>
      <c r="Q155" s="42"/>
      <c r="R155" s="45"/>
      <c r="S155" s="45"/>
    </row>
    <row r="156">
      <c r="C156" s="42"/>
      <c r="D156" s="42"/>
      <c r="E156" s="42"/>
      <c r="K156" s="42"/>
      <c r="L156" s="42"/>
      <c r="M156" s="42"/>
      <c r="Q156" s="42"/>
      <c r="R156" s="45"/>
      <c r="S156" s="45"/>
    </row>
    <row r="157">
      <c r="C157" s="42"/>
      <c r="D157" s="42"/>
      <c r="E157" s="42"/>
      <c r="K157" s="42"/>
      <c r="L157" s="42"/>
      <c r="M157" s="42"/>
      <c r="Q157" s="42"/>
      <c r="R157" s="45"/>
      <c r="S157" s="45"/>
    </row>
    <row r="158">
      <c r="C158" s="42"/>
      <c r="D158" s="42"/>
      <c r="E158" s="42"/>
      <c r="K158" s="42"/>
      <c r="L158" s="42"/>
      <c r="M158" s="42"/>
      <c r="Q158" s="42"/>
      <c r="R158" s="45"/>
      <c r="S158" s="45"/>
    </row>
    <row r="159">
      <c r="C159" s="42"/>
      <c r="D159" s="42"/>
      <c r="E159" s="42"/>
      <c r="K159" s="42"/>
      <c r="L159" s="42"/>
      <c r="M159" s="42"/>
      <c r="Q159" s="42"/>
      <c r="R159" s="45"/>
      <c r="S159" s="45"/>
    </row>
    <row r="160">
      <c r="C160" s="42"/>
      <c r="D160" s="42"/>
      <c r="E160" s="42"/>
      <c r="K160" s="42"/>
      <c r="L160" s="42"/>
      <c r="M160" s="42"/>
      <c r="Q160" s="42"/>
      <c r="R160" s="45"/>
      <c r="S160" s="45"/>
    </row>
    <row r="161">
      <c r="C161" s="42"/>
      <c r="D161" s="42"/>
      <c r="E161" s="42"/>
      <c r="K161" s="42"/>
      <c r="L161" s="42"/>
      <c r="M161" s="42"/>
      <c r="Q161" s="42"/>
      <c r="R161" s="45"/>
      <c r="S161" s="45"/>
    </row>
    <row r="162">
      <c r="C162" s="42"/>
      <c r="D162" s="42"/>
      <c r="E162" s="42"/>
      <c r="K162" s="42"/>
      <c r="L162" s="42"/>
      <c r="M162" s="42"/>
      <c r="Q162" s="42"/>
      <c r="R162" s="45"/>
      <c r="S162" s="45"/>
    </row>
    <row r="163">
      <c r="C163" s="42"/>
      <c r="D163" s="42"/>
      <c r="E163" s="42"/>
      <c r="K163" s="42"/>
      <c r="L163" s="42"/>
      <c r="M163" s="42"/>
      <c r="Q163" s="42"/>
      <c r="R163" s="45"/>
      <c r="S163" s="45"/>
    </row>
    <row r="164">
      <c r="C164" s="42"/>
      <c r="D164" s="42"/>
      <c r="E164" s="42"/>
      <c r="K164" s="42"/>
      <c r="L164" s="42"/>
      <c r="M164" s="42"/>
      <c r="Q164" s="42"/>
      <c r="R164" s="45"/>
      <c r="S164" s="45"/>
    </row>
    <row r="165">
      <c r="C165" s="42"/>
      <c r="D165" s="42"/>
      <c r="E165" s="42"/>
      <c r="K165" s="42"/>
      <c r="L165" s="42"/>
      <c r="M165" s="42"/>
      <c r="Q165" s="42"/>
      <c r="R165" s="45"/>
      <c r="S165" s="45"/>
    </row>
    <row r="166">
      <c r="C166" s="42"/>
      <c r="D166" s="42"/>
      <c r="E166" s="42"/>
      <c r="K166" s="42"/>
      <c r="L166" s="42"/>
      <c r="M166" s="42"/>
      <c r="Q166" s="42"/>
      <c r="R166" s="45"/>
      <c r="S166" s="45"/>
    </row>
    <row r="167">
      <c r="C167" s="42"/>
      <c r="D167" s="42"/>
      <c r="E167" s="42"/>
      <c r="K167" s="42"/>
      <c r="L167" s="42"/>
      <c r="M167" s="42"/>
      <c r="Q167" s="42"/>
      <c r="R167" s="45"/>
      <c r="S167" s="45"/>
    </row>
    <row r="168">
      <c r="C168" s="42"/>
      <c r="D168" s="42"/>
      <c r="E168" s="42"/>
      <c r="K168" s="42"/>
      <c r="L168" s="42"/>
      <c r="M168" s="42"/>
      <c r="Q168" s="42"/>
      <c r="R168" s="45"/>
      <c r="S168" s="45"/>
    </row>
    <row r="169">
      <c r="C169" s="42"/>
      <c r="D169" s="42"/>
      <c r="E169" s="42"/>
      <c r="K169" s="42"/>
      <c r="L169" s="42"/>
      <c r="M169" s="42"/>
      <c r="Q169" s="42"/>
      <c r="R169" s="45"/>
      <c r="S169" s="45"/>
    </row>
    <row r="170">
      <c r="C170" s="42"/>
      <c r="D170" s="42"/>
      <c r="E170" s="42"/>
      <c r="K170" s="42"/>
      <c r="L170" s="42"/>
      <c r="M170" s="42"/>
      <c r="Q170" s="42"/>
      <c r="R170" s="45"/>
      <c r="S170" s="45"/>
    </row>
    <row r="171">
      <c r="C171" s="42"/>
      <c r="D171" s="42"/>
      <c r="E171" s="42"/>
      <c r="K171" s="42"/>
      <c r="L171" s="42"/>
      <c r="M171" s="42"/>
      <c r="Q171" s="42"/>
      <c r="R171" s="45"/>
      <c r="S171" s="45"/>
    </row>
    <row r="172">
      <c r="C172" s="42"/>
      <c r="D172" s="42"/>
      <c r="E172" s="42"/>
      <c r="K172" s="42"/>
      <c r="L172" s="42"/>
      <c r="M172" s="42"/>
      <c r="Q172" s="42"/>
      <c r="R172" s="45"/>
      <c r="S172" s="45"/>
    </row>
    <row r="173">
      <c r="C173" s="42"/>
      <c r="D173" s="42"/>
      <c r="E173" s="42"/>
      <c r="K173" s="42"/>
      <c r="L173" s="42"/>
      <c r="M173" s="42"/>
      <c r="Q173" s="42"/>
      <c r="R173" s="45"/>
      <c r="S173" s="45"/>
    </row>
    <row r="174">
      <c r="C174" s="42"/>
      <c r="D174" s="42"/>
      <c r="E174" s="42"/>
      <c r="K174" s="42"/>
      <c r="L174" s="42"/>
      <c r="M174" s="42"/>
      <c r="Q174" s="42"/>
      <c r="R174" s="45"/>
      <c r="S174" s="45"/>
    </row>
    <row r="175">
      <c r="C175" s="42"/>
      <c r="D175" s="42"/>
      <c r="E175" s="42"/>
      <c r="K175" s="42"/>
      <c r="L175" s="42"/>
      <c r="M175" s="42"/>
      <c r="Q175" s="42"/>
      <c r="R175" s="45"/>
      <c r="S175" s="45"/>
    </row>
    <row r="176">
      <c r="C176" s="42"/>
      <c r="D176" s="42"/>
      <c r="E176" s="42"/>
      <c r="K176" s="42"/>
      <c r="L176" s="42"/>
      <c r="M176" s="42"/>
      <c r="Q176" s="42"/>
      <c r="R176" s="45"/>
      <c r="S176" s="45"/>
    </row>
    <row r="177">
      <c r="C177" s="42"/>
      <c r="D177" s="42"/>
      <c r="E177" s="42"/>
      <c r="K177" s="42"/>
      <c r="L177" s="42"/>
      <c r="M177" s="42"/>
      <c r="Q177" s="42"/>
      <c r="R177" s="45"/>
      <c r="S177" s="45"/>
    </row>
    <row r="178">
      <c r="C178" s="42"/>
      <c r="D178" s="42"/>
      <c r="E178" s="42"/>
      <c r="K178" s="42"/>
      <c r="L178" s="42"/>
      <c r="M178" s="42"/>
      <c r="Q178" s="42"/>
      <c r="R178" s="45"/>
      <c r="S178" s="45"/>
    </row>
    <row r="179">
      <c r="C179" s="42"/>
      <c r="D179" s="42"/>
      <c r="E179" s="42"/>
      <c r="K179" s="42"/>
      <c r="L179" s="42"/>
      <c r="M179" s="42"/>
      <c r="Q179" s="42"/>
      <c r="R179" s="45"/>
      <c r="S179" s="45"/>
    </row>
    <row r="180">
      <c r="C180" s="42"/>
      <c r="D180" s="42"/>
      <c r="E180" s="42"/>
      <c r="K180" s="42"/>
      <c r="L180" s="42"/>
      <c r="M180" s="42"/>
      <c r="Q180" s="42"/>
      <c r="R180" s="45"/>
      <c r="S180" s="45"/>
    </row>
    <row r="181">
      <c r="C181" s="42"/>
      <c r="D181" s="42"/>
      <c r="E181" s="42"/>
      <c r="K181" s="42"/>
      <c r="L181" s="42"/>
      <c r="M181" s="42"/>
      <c r="Q181" s="42"/>
      <c r="R181" s="45"/>
      <c r="S181" s="45"/>
    </row>
    <row r="182">
      <c r="C182" s="42"/>
      <c r="D182" s="42"/>
      <c r="E182" s="42"/>
      <c r="K182" s="42"/>
      <c r="L182" s="42"/>
      <c r="M182" s="42"/>
      <c r="Q182" s="42"/>
      <c r="R182" s="45"/>
      <c r="S182" s="45"/>
    </row>
    <row r="183">
      <c r="C183" s="42"/>
      <c r="D183" s="42"/>
      <c r="E183" s="42"/>
      <c r="K183" s="42"/>
      <c r="L183" s="42"/>
      <c r="M183" s="42"/>
      <c r="Q183" s="42"/>
      <c r="R183" s="45"/>
      <c r="S183" s="45"/>
    </row>
    <row r="184">
      <c r="C184" s="42"/>
      <c r="D184" s="42"/>
      <c r="E184" s="42"/>
      <c r="K184" s="42"/>
      <c r="L184" s="42"/>
      <c r="M184" s="42"/>
      <c r="Q184" s="42"/>
      <c r="R184" s="45"/>
      <c r="S184" s="45"/>
    </row>
    <row r="185">
      <c r="C185" s="42"/>
      <c r="D185" s="42"/>
      <c r="E185" s="42"/>
      <c r="K185" s="42"/>
      <c r="L185" s="42"/>
      <c r="M185" s="42"/>
      <c r="Q185" s="42"/>
      <c r="R185" s="45"/>
      <c r="S185" s="45"/>
    </row>
    <row r="186">
      <c r="C186" s="42"/>
      <c r="D186" s="42"/>
      <c r="E186" s="42"/>
      <c r="K186" s="42"/>
      <c r="L186" s="42"/>
      <c r="M186" s="42"/>
      <c r="Q186" s="42"/>
      <c r="R186" s="45"/>
      <c r="S186" s="45"/>
    </row>
    <row r="187">
      <c r="C187" s="42"/>
      <c r="D187" s="42"/>
      <c r="E187" s="42"/>
      <c r="K187" s="42"/>
      <c r="L187" s="42"/>
      <c r="M187" s="42"/>
      <c r="Q187" s="42"/>
      <c r="R187" s="45"/>
      <c r="S187" s="45"/>
    </row>
    <row r="188">
      <c r="C188" s="42"/>
      <c r="D188" s="42"/>
      <c r="E188" s="42"/>
      <c r="K188" s="42"/>
      <c r="L188" s="42"/>
      <c r="M188" s="42"/>
      <c r="Q188" s="42"/>
      <c r="R188" s="45"/>
      <c r="S188" s="45"/>
    </row>
    <row r="189">
      <c r="C189" s="42"/>
      <c r="D189" s="42"/>
      <c r="E189" s="42"/>
      <c r="K189" s="42"/>
      <c r="L189" s="42"/>
      <c r="M189" s="42"/>
      <c r="Q189" s="42"/>
      <c r="R189" s="45"/>
      <c r="S189" s="45"/>
    </row>
    <row r="190">
      <c r="C190" s="42"/>
      <c r="D190" s="42"/>
      <c r="E190" s="42"/>
      <c r="K190" s="42"/>
      <c r="L190" s="42"/>
      <c r="M190" s="42"/>
      <c r="Q190" s="42"/>
      <c r="R190" s="45"/>
      <c r="S190" s="45"/>
    </row>
    <row r="191">
      <c r="C191" s="42"/>
      <c r="D191" s="42"/>
      <c r="E191" s="42"/>
      <c r="K191" s="42"/>
      <c r="L191" s="42"/>
      <c r="M191" s="42"/>
      <c r="Q191" s="42"/>
      <c r="R191" s="45"/>
      <c r="S191" s="45"/>
    </row>
    <row r="192">
      <c r="C192" s="42"/>
      <c r="D192" s="42"/>
      <c r="E192" s="42"/>
      <c r="K192" s="42"/>
      <c r="L192" s="42"/>
      <c r="M192" s="42"/>
      <c r="Q192" s="42"/>
      <c r="R192" s="45"/>
      <c r="S192" s="45"/>
    </row>
    <row r="193">
      <c r="C193" s="42"/>
      <c r="D193" s="42"/>
      <c r="E193" s="42"/>
      <c r="K193" s="42"/>
      <c r="L193" s="42"/>
      <c r="M193" s="42"/>
      <c r="Q193" s="42"/>
      <c r="R193" s="45"/>
      <c r="S193" s="45"/>
    </row>
    <row r="194">
      <c r="C194" s="42"/>
      <c r="D194" s="42"/>
      <c r="E194" s="42"/>
      <c r="K194" s="42"/>
      <c r="L194" s="42"/>
      <c r="M194" s="42"/>
      <c r="Q194" s="42"/>
      <c r="R194" s="45"/>
      <c r="S194" s="45"/>
    </row>
    <row r="195">
      <c r="C195" s="42"/>
      <c r="D195" s="42"/>
      <c r="E195" s="42"/>
      <c r="K195" s="42"/>
      <c r="L195" s="42"/>
      <c r="M195" s="42"/>
      <c r="Q195" s="42"/>
      <c r="R195" s="45"/>
      <c r="S195" s="45"/>
    </row>
    <row r="196">
      <c r="C196" s="42"/>
      <c r="D196" s="42"/>
      <c r="E196" s="42"/>
      <c r="K196" s="42"/>
      <c r="L196" s="42"/>
      <c r="M196" s="42"/>
      <c r="Q196" s="42"/>
      <c r="R196" s="45"/>
      <c r="S196" s="45"/>
    </row>
    <row r="197">
      <c r="C197" s="42"/>
      <c r="D197" s="42"/>
      <c r="E197" s="42"/>
      <c r="K197" s="42"/>
      <c r="L197" s="42"/>
      <c r="M197" s="42"/>
      <c r="Q197" s="42"/>
      <c r="R197" s="45"/>
      <c r="S197" s="45"/>
    </row>
    <row r="198">
      <c r="C198" s="42"/>
      <c r="D198" s="42"/>
      <c r="E198" s="42"/>
      <c r="K198" s="42"/>
      <c r="L198" s="42"/>
      <c r="M198" s="42"/>
      <c r="Q198" s="42"/>
      <c r="R198" s="45"/>
      <c r="S198" s="45"/>
    </row>
    <row r="199">
      <c r="C199" s="42"/>
      <c r="D199" s="42"/>
      <c r="E199" s="42"/>
      <c r="K199" s="42"/>
      <c r="L199" s="42"/>
      <c r="M199" s="42"/>
      <c r="Q199" s="42"/>
      <c r="R199" s="45"/>
      <c r="S199" s="45"/>
    </row>
    <row r="200">
      <c r="C200" s="42"/>
      <c r="D200" s="42"/>
      <c r="E200" s="42"/>
      <c r="K200" s="42"/>
      <c r="L200" s="42"/>
      <c r="M200" s="42"/>
      <c r="Q200" s="42"/>
      <c r="R200" s="45"/>
      <c r="S200" s="45"/>
    </row>
    <row r="201">
      <c r="C201" s="42"/>
      <c r="D201" s="42"/>
      <c r="E201" s="42"/>
      <c r="K201" s="42"/>
      <c r="L201" s="42"/>
      <c r="M201" s="42"/>
      <c r="Q201" s="42"/>
      <c r="R201" s="45"/>
      <c r="S201" s="45"/>
    </row>
    <row r="202">
      <c r="C202" s="42"/>
      <c r="D202" s="42"/>
      <c r="E202" s="42"/>
      <c r="K202" s="42"/>
      <c r="L202" s="42"/>
      <c r="M202" s="42"/>
      <c r="Q202" s="42"/>
      <c r="R202" s="45"/>
      <c r="S202" s="45"/>
    </row>
    <row r="203">
      <c r="C203" s="42"/>
      <c r="D203" s="42"/>
      <c r="E203" s="42"/>
      <c r="K203" s="42"/>
      <c r="L203" s="42"/>
      <c r="M203" s="42"/>
      <c r="Q203" s="42"/>
      <c r="R203" s="45"/>
      <c r="S203" s="45"/>
    </row>
    <row r="204">
      <c r="C204" s="42"/>
      <c r="D204" s="42"/>
      <c r="E204" s="42"/>
      <c r="K204" s="42"/>
      <c r="L204" s="42"/>
      <c r="M204" s="42"/>
      <c r="Q204" s="42"/>
      <c r="R204" s="45"/>
      <c r="S204" s="45"/>
    </row>
    <row r="205">
      <c r="C205" s="42"/>
      <c r="D205" s="42"/>
      <c r="E205" s="42"/>
      <c r="K205" s="42"/>
      <c r="L205" s="42"/>
      <c r="M205" s="42"/>
      <c r="Q205" s="42"/>
      <c r="R205" s="45"/>
      <c r="S205" s="45"/>
    </row>
    <row r="206">
      <c r="C206" s="42"/>
      <c r="D206" s="42"/>
      <c r="E206" s="42"/>
      <c r="K206" s="42"/>
      <c r="L206" s="42"/>
      <c r="M206" s="42"/>
      <c r="Q206" s="42"/>
      <c r="R206" s="45"/>
      <c r="S206" s="45"/>
    </row>
    <row r="207">
      <c r="C207" s="42"/>
      <c r="D207" s="42"/>
      <c r="E207" s="42"/>
      <c r="K207" s="42"/>
      <c r="L207" s="42"/>
      <c r="M207" s="42"/>
      <c r="Q207" s="42"/>
      <c r="R207" s="45"/>
      <c r="S207" s="45"/>
    </row>
    <row r="208">
      <c r="C208" s="42"/>
      <c r="D208" s="42"/>
      <c r="E208" s="42"/>
      <c r="K208" s="42"/>
      <c r="L208" s="42"/>
      <c r="M208" s="42"/>
      <c r="Q208" s="42"/>
      <c r="R208" s="45"/>
      <c r="S208" s="45"/>
    </row>
    <row r="209">
      <c r="C209" s="42"/>
      <c r="D209" s="42"/>
      <c r="E209" s="42"/>
      <c r="K209" s="42"/>
      <c r="L209" s="42"/>
      <c r="M209" s="42"/>
      <c r="Q209" s="42"/>
      <c r="R209" s="45"/>
      <c r="S209" s="45"/>
    </row>
    <row r="210">
      <c r="C210" s="42"/>
      <c r="D210" s="42"/>
      <c r="E210" s="42"/>
      <c r="K210" s="42"/>
      <c r="L210" s="42"/>
      <c r="M210" s="42"/>
      <c r="Q210" s="42"/>
      <c r="R210" s="45"/>
      <c r="S210" s="45"/>
    </row>
    <row r="211">
      <c r="C211" s="42"/>
      <c r="D211" s="42"/>
      <c r="E211" s="42"/>
      <c r="K211" s="42"/>
      <c r="L211" s="42"/>
      <c r="M211" s="42"/>
      <c r="Q211" s="42"/>
      <c r="R211" s="45"/>
      <c r="S211" s="45"/>
    </row>
    <row r="212">
      <c r="C212" s="42"/>
      <c r="D212" s="42"/>
      <c r="E212" s="42"/>
      <c r="K212" s="42"/>
      <c r="L212" s="42"/>
      <c r="M212" s="42"/>
      <c r="Q212" s="42"/>
      <c r="R212" s="45"/>
      <c r="S212" s="45"/>
    </row>
    <row r="213">
      <c r="C213" s="42"/>
      <c r="D213" s="42"/>
      <c r="E213" s="42"/>
      <c r="K213" s="42"/>
      <c r="L213" s="42"/>
      <c r="M213" s="42"/>
      <c r="Q213" s="42"/>
      <c r="R213" s="45"/>
      <c r="S213" s="45"/>
    </row>
    <row r="214">
      <c r="C214" s="42"/>
      <c r="D214" s="42"/>
      <c r="E214" s="42"/>
      <c r="K214" s="42"/>
      <c r="L214" s="42"/>
      <c r="M214" s="42"/>
      <c r="Q214" s="42"/>
      <c r="R214" s="45"/>
      <c r="S214" s="45"/>
    </row>
    <row r="215">
      <c r="C215" s="42"/>
      <c r="D215" s="42"/>
      <c r="E215" s="42"/>
      <c r="K215" s="42"/>
      <c r="L215" s="42"/>
      <c r="M215" s="42"/>
      <c r="Q215" s="42"/>
      <c r="R215" s="45"/>
      <c r="S215" s="45"/>
    </row>
    <row r="216">
      <c r="C216" s="42"/>
      <c r="D216" s="42"/>
      <c r="E216" s="42"/>
      <c r="K216" s="42"/>
      <c r="L216" s="42"/>
      <c r="M216" s="42"/>
      <c r="Q216" s="42"/>
      <c r="R216" s="45"/>
      <c r="S216" s="45"/>
    </row>
    <row r="217">
      <c r="C217" s="42"/>
      <c r="D217" s="42"/>
      <c r="E217" s="42"/>
      <c r="K217" s="42"/>
      <c r="L217" s="42"/>
      <c r="M217" s="42"/>
      <c r="Q217" s="42"/>
      <c r="R217" s="45"/>
      <c r="S217" s="45"/>
    </row>
    <row r="218">
      <c r="C218" s="42"/>
      <c r="D218" s="42"/>
      <c r="E218" s="42"/>
      <c r="K218" s="42"/>
      <c r="L218" s="42"/>
      <c r="M218" s="42"/>
      <c r="Q218" s="42"/>
      <c r="R218" s="45"/>
      <c r="S218" s="45"/>
    </row>
    <row r="219">
      <c r="C219" s="42"/>
      <c r="D219" s="42"/>
      <c r="E219" s="42"/>
      <c r="K219" s="42"/>
      <c r="L219" s="42"/>
      <c r="M219" s="42"/>
      <c r="Q219" s="42"/>
      <c r="R219" s="45"/>
      <c r="S219" s="45"/>
    </row>
    <row r="220">
      <c r="C220" s="42"/>
      <c r="D220" s="42"/>
      <c r="E220" s="42"/>
      <c r="K220" s="42"/>
      <c r="L220" s="42"/>
      <c r="M220" s="42"/>
      <c r="Q220" s="42"/>
      <c r="R220" s="45"/>
      <c r="S220" s="45"/>
    </row>
    <row r="221">
      <c r="C221" s="42"/>
      <c r="D221" s="42"/>
      <c r="E221" s="42"/>
      <c r="K221" s="42"/>
      <c r="L221" s="42"/>
      <c r="M221" s="42"/>
      <c r="Q221" s="42"/>
      <c r="R221" s="45"/>
      <c r="S221" s="45"/>
    </row>
    <row r="222">
      <c r="C222" s="42"/>
      <c r="D222" s="42"/>
      <c r="E222" s="42"/>
      <c r="K222" s="42"/>
      <c r="L222" s="42"/>
      <c r="M222" s="42"/>
      <c r="Q222" s="42"/>
      <c r="R222" s="45"/>
      <c r="S222" s="45"/>
    </row>
    <row r="223">
      <c r="C223" s="42"/>
      <c r="D223" s="42"/>
      <c r="E223" s="42"/>
      <c r="K223" s="42"/>
      <c r="L223" s="42"/>
      <c r="M223" s="42"/>
      <c r="Q223" s="42"/>
      <c r="R223" s="45"/>
      <c r="S223" s="45"/>
    </row>
    <row r="224">
      <c r="C224" s="42"/>
      <c r="D224" s="42"/>
      <c r="E224" s="42"/>
      <c r="K224" s="42"/>
      <c r="L224" s="42"/>
      <c r="M224" s="42"/>
      <c r="Q224" s="42"/>
      <c r="R224" s="45"/>
      <c r="S224" s="45"/>
    </row>
    <row r="225">
      <c r="C225" s="42"/>
      <c r="D225" s="42"/>
      <c r="E225" s="42"/>
      <c r="K225" s="42"/>
      <c r="L225" s="42"/>
      <c r="M225" s="42"/>
      <c r="Q225" s="42"/>
      <c r="R225" s="45"/>
      <c r="S225" s="45"/>
    </row>
    <row r="226">
      <c r="C226" s="42"/>
      <c r="D226" s="42"/>
      <c r="E226" s="42"/>
      <c r="K226" s="42"/>
      <c r="L226" s="42"/>
      <c r="M226" s="42"/>
      <c r="Q226" s="42"/>
      <c r="R226" s="45"/>
      <c r="S226" s="45"/>
    </row>
    <row r="227">
      <c r="C227" s="42"/>
      <c r="D227" s="42"/>
      <c r="E227" s="42"/>
      <c r="K227" s="42"/>
      <c r="L227" s="42"/>
      <c r="M227" s="42"/>
      <c r="Q227" s="42"/>
      <c r="R227" s="45"/>
      <c r="S227" s="45"/>
    </row>
    <row r="228">
      <c r="C228" s="42"/>
      <c r="D228" s="42"/>
      <c r="E228" s="42"/>
      <c r="K228" s="42"/>
      <c r="L228" s="42"/>
      <c r="M228" s="42"/>
      <c r="Q228" s="42"/>
      <c r="R228" s="45"/>
      <c r="S228" s="45"/>
    </row>
    <row r="229">
      <c r="C229" s="42"/>
      <c r="D229" s="42"/>
      <c r="E229" s="42"/>
      <c r="K229" s="42"/>
      <c r="L229" s="42"/>
      <c r="M229" s="42"/>
      <c r="Q229" s="42"/>
      <c r="R229" s="45"/>
      <c r="S229" s="45"/>
    </row>
    <row r="230">
      <c r="C230" s="42"/>
      <c r="D230" s="42"/>
      <c r="E230" s="42"/>
      <c r="K230" s="42"/>
      <c r="L230" s="42"/>
      <c r="M230" s="42"/>
      <c r="Q230" s="42"/>
      <c r="R230" s="45"/>
      <c r="S230" s="45"/>
    </row>
    <row r="231">
      <c r="C231" s="42"/>
      <c r="D231" s="42"/>
      <c r="E231" s="42"/>
      <c r="K231" s="42"/>
      <c r="L231" s="42"/>
      <c r="M231" s="42"/>
      <c r="Q231" s="42"/>
      <c r="R231" s="45"/>
      <c r="S231" s="45"/>
    </row>
    <row r="232">
      <c r="C232" s="42"/>
      <c r="D232" s="42"/>
      <c r="E232" s="42"/>
      <c r="K232" s="42"/>
      <c r="L232" s="42"/>
      <c r="M232" s="42"/>
      <c r="Q232" s="42"/>
      <c r="R232" s="45"/>
      <c r="S232" s="45"/>
    </row>
    <row r="233">
      <c r="C233" s="42"/>
      <c r="D233" s="42"/>
      <c r="E233" s="42"/>
      <c r="K233" s="42"/>
      <c r="L233" s="42"/>
      <c r="M233" s="42"/>
      <c r="Q233" s="42"/>
      <c r="R233" s="45"/>
      <c r="S233" s="45"/>
    </row>
    <row r="234">
      <c r="C234" s="42"/>
      <c r="D234" s="42"/>
      <c r="E234" s="42"/>
      <c r="K234" s="42"/>
      <c r="L234" s="42"/>
      <c r="M234" s="42"/>
      <c r="Q234" s="42"/>
      <c r="R234" s="45"/>
      <c r="S234" s="45"/>
    </row>
    <row r="235">
      <c r="C235" s="42"/>
      <c r="D235" s="42"/>
      <c r="E235" s="42"/>
      <c r="K235" s="42"/>
      <c r="L235" s="42"/>
      <c r="M235" s="42"/>
      <c r="Q235" s="42"/>
      <c r="R235" s="45"/>
      <c r="S235" s="45"/>
    </row>
    <row r="236">
      <c r="C236" s="42"/>
      <c r="D236" s="42"/>
      <c r="E236" s="42"/>
      <c r="K236" s="42"/>
      <c r="L236" s="42"/>
      <c r="M236" s="42"/>
      <c r="Q236" s="42"/>
      <c r="R236" s="45"/>
      <c r="S236" s="45"/>
    </row>
    <row r="237">
      <c r="C237" s="42"/>
      <c r="D237" s="42"/>
      <c r="E237" s="42"/>
      <c r="K237" s="42"/>
      <c r="L237" s="42"/>
      <c r="M237" s="42"/>
      <c r="Q237" s="42"/>
      <c r="R237" s="45"/>
      <c r="S237" s="45"/>
    </row>
    <row r="238">
      <c r="C238" s="42"/>
      <c r="D238" s="42"/>
      <c r="E238" s="42"/>
      <c r="K238" s="42"/>
      <c r="L238" s="42"/>
      <c r="M238" s="42"/>
      <c r="Q238" s="42"/>
      <c r="R238" s="45"/>
      <c r="S238" s="45"/>
    </row>
    <row r="239">
      <c r="C239" s="42"/>
      <c r="D239" s="42"/>
      <c r="E239" s="42"/>
      <c r="K239" s="42"/>
      <c r="L239" s="42"/>
      <c r="M239" s="42"/>
      <c r="Q239" s="42"/>
      <c r="R239" s="45"/>
      <c r="S239" s="45"/>
    </row>
    <row r="240">
      <c r="C240" s="42"/>
      <c r="D240" s="42"/>
      <c r="E240" s="42"/>
      <c r="K240" s="42"/>
      <c r="L240" s="42"/>
      <c r="M240" s="42"/>
      <c r="Q240" s="42"/>
      <c r="R240" s="45"/>
      <c r="S240" s="45"/>
    </row>
    <row r="241">
      <c r="C241" s="42"/>
      <c r="D241" s="42"/>
      <c r="E241" s="42"/>
      <c r="K241" s="42"/>
      <c r="L241" s="42"/>
      <c r="M241" s="42"/>
      <c r="Q241" s="42"/>
      <c r="R241" s="45"/>
      <c r="S241" s="45"/>
    </row>
    <row r="242">
      <c r="C242" s="42"/>
      <c r="D242" s="42"/>
      <c r="E242" s="42"/>
      <c r="K242" s="42"/>
      <c r="L242" s="42"/>
      <c r="M242" s="42"/>
      <c r="Q242" s="42"/>
      <c r="R242" s="45"/>
      <c r="S242" s="45"/>
    </row>
    <row r="243">
      <c r="C243" s="42"/>
      <c r="D243" s="42"/>
      <c r="E243" s="42"/>
      <c r="K243" s="42"/>
      <c r="L243" s="42"/>
      <c r="M243" s="42"/>
      <c r="Q243" s="42"/>
      <c r="R243" s="45"/>
      <c r="S243" s="45"/>
    </row>
    <row r="244">
      <c r="C244" s="42"/>
      <c r="D244" s="42"/>
      <c r="E244" s="42"/>
      <c r="K244" s="42"/>
      <c r="L244" s="42"/>
      <c r="M244" s="42"/>
      <c r="Q244" s="42"/>
      <c r="R244" s="45"/>
      <c r="S244" s="45"/>
    </row>
    <row r="245">
      <c r="C245" s="42"/>
      <c r="D245" s="42"/>
      <c r="E245" s="42"/>
      <c r="K245" s="42"/>
      <c r="L245" s="42"/>
      <c r="M245" s="42"/>
      <c r="Q245" s="42"/>
      <c r="R245" s="45"/>
      <c r="S245" s="45"/>
    </row>
    <row r="246">
      <c r="C246" s="42"/>
      <c r="D246" s="42"/>
      <c r="E246" s="42"/>
      <c r="K246" s="42"/>
      <c r="L246" s="42"/>
      <c r="M246" s="42"/>
      <c r="Q246" s="42"/>
      <c r="R246" s="45"/>
      <c r="S246" s="45"/>
    </row>
    <row r="247">
      <c r="C247" s="42"/>
      <c r="D247" s="42"/>
      <c r="E247" s="42"/>
      <c r="K247" s="42"/>
      <c r="L247" s="42"/>
      <c r="M247" s="42"/>
      <c r="Q247" s="42"/>
      <c r="R247" s="45"/>
      <c r="S247" s="45"/>
    </row>
    <row r="248">
      <c r="C248" s="42"/>
      <c r="D248" s="42"/>
      <c r="E248" s="42"/>
      <c r="K248" s="42"/>
      <c r="L248" s="42"/>
      <c r="M248" s="42"/>
      <c r="Q248" s="42"/>
      <c r="R248" s="45"/>
      <c r="S248" s="45"/>
    </row>
    <row r="249">
      <c r="C249" s="42"/>
      <c r="D249" s="42"/>
      <c r="E249" s="42"/>
      <c r="K249" s="42"/>
      <c r="L249" s="42"/>
      <c r="M249" s="42"/>
      <c r="Q249" s="42"/>
      <c r="R249" s="45"/>
      <c r="S249" s="45"/>
    </row>
    <row r="250">
      <c r="C250" s="42"/>
      <c r="D250" s="42"/>
      <c r="E250" s="42"/>
      <c r="K250" s="42"/>
      <c r="L250" s="42"/>
      <c r="M250" s="42"/>
      <c r="Q250" s="42"/>
      <c r="R250" s="45"/>
      <c r="S250" s="45"/>
    </row>
    <row r="251">
      <c r="C251" s="42"/>
      <c r="D251" s="42"/>
      <c r="E251" s="42"/>
      <c r="K251" s="42"/>
      <c r="L251" s="42"/>
      <c r="M251" s="42"/>
      <c r="Q251" s="42"/>
      <c r="R251" s="45"/>
      <c r="S251" s="45"/>
    </row>
    <row r="252">
      <c r="C252" s="42"/>
      <c r="D252" s="42"/>
      <c r="E252" s="42"/>
      <c r="K252" s="42"/>
      <c r="L252" s="42"/>
      <c r="M252" s="42"/>
      <c r="Q252" s="42"/>
      <c r="R252" s="45"/>
      <c r="S252" s="45"/>
    </row>
    <row r="253">
      <c r="C253" s="42"/>
      <c r="D253" s="42"/>
      <c r="E253" s="42"/>
      <c r="K253" s="42"/>
      <c r="L253" s="42"/>
      <c r="M253" s="42"/>
      <c r="Q253" s="42"/>
      <c r="R253" s="45"/>
      <c r="S253" s="45"/>
    </row>
    <row r="254">
      <c r="C254" s="42"/>
      <c r="D254" s="42"/>
      <c r="E254" s="42"/>
      <c r="K254" s="42"/>
      <c r="L254" s="42"/>
      <c r="M254" s="42"/>
      <c r="Q254" s="42"/>
      <c r="R254" s="45"/>
      <c r="S254" s="45"/>
    </row>
    <row r="255">
      <c r="C255" s="42"/>
      <c r="D255" s="42"/>
      <c r="E255" s="42"/>
      <c r="K255" s="42"/>
      <c r="L255" s="42"/>
      <c r="M255" s="42"/>
      <c r="Q255" s="42"/>
      <c r="R255" s="45"/>
      <c r="S255" s="45"/>
    </row>
    <row r="256">
      <c r="C256" s="42"/>
      <c r="D256" s="42"/>
      <c r="E256" s="42"/>
      <c r="K256" s="42"/>
      <c r="L256" s="42"/>
      <c r="M256" s="42"/>
      <c r="Q256" s="42"/>
      <c r="R256" s="45"/>
      <c r="S256" s="45"/>
    </row>
    <row r="257">
      <c r="C257" s="42"/>
      <c r="D257" s="42"/>
      <c r="E257" s="42"/>
      <c r="K257" s="42"/>
      <c r="L257" s="42"/>
      <c r="M257" s="42"/>
      <c r="Q257" s="42"/>
      <c r="R257" s="45"/>
      <c r="S257" s="45"/>
    </row>
    <row r="258">
      <c r="C258" s="42"/>
      <c r="D258" s="42"/>
      <c r="E258" s="42"/>
      <c r="K258" s="42"/>
      <c r="L258" s="42"/>
      <c r="M258" s="42"/>
      <c r="Q258" s="42"/>
      <c r="R258" s="45"/>
      <c r="S258" s="45"/>
    </row>
    <row r="259">
      <c r="C259" s="42"/>
      <c r="D259" s="42"/>
      <c r="E259" s="42"/>
      <c r="K259" s="42"/>
      <c r="L259" s="42"/>
      <c r="M259" s="42"/>
      <c r="Q259" s="42"/>
      <c r="R259" s="45"/>
      <c r="S259" s="45"/>
    </row>
    <row r="260">
      <c r="C260" s="42"/>
      <c r="D260" s="42"/>
      <c r="E260" s="42"/>
      <c r="K260" s="42"/>
      <c r="L260" s="42"/>
      <c r="M260" s="42"/>
      <c r="Q260" s="42"/>
      <c r="R260" s="45"/>
      <c r="S260" s="45"/>
    </row>
    <row r="261">
      <c r="C261" s="42"/>
      <c r="D261" s="42"/>
      <c r="E261" s="42"/>
      <c r="K261" s="42"/>
      <c r="L261" s="42"/>
      <c r="M261" s="42"/>
      <c r="Q261" s="42"/>
      <c r="R261" s="45"/>
      <c r="S261" s="45"/>
    </row>
    <row r="262">
      <c r="C262" s="42"/>
      <c r="D262" s="42"/>
      <c r="E262" s="42"/>
      <c r="K262" s="42"/>
      <c r="L262" s="42"/>
      <c r="M262" s="42"/>
      <c r="Q262" s="42"/>
      <c r="R262" s="45"/>
      <c r="S262" s="45"/>
    </row>
    <row r="263">
      <c r="C263" s="42"/>
      <c r="D263" s="42"/>
      <c r="E263" s="42"/>
      <c r="K263" s="42"/>
      <c r="L263" s="42"/>
      <c r="M263" s="42"/>
      <c r="Q263" s="42"/>
      <c r="R263" s="45"/>
      <c r="S263" s="45"/>
    </row>
    <row r="264">
      <c r="C264" s="42"/>
      <c r="D264" s="42"/>
      <c r="E264" s="42"/>
      <c r="K264" s="42"/>
      <c r="L264" s="42"/>
      <c r="M264" s="42"/>
      <c r="Q264" s="42"/>
      <c r="R264" s="45"/>
      <c r="S264" s="45"/>
    </row>
    <row r="265">
      <c r="C265" s="42"/>
      <c r="D265" s="42"/>
      <c r="E265" s="42"/>
      <c r="K265" s="42"/>
      <c r="L265" s="42"/>
      <c r="M265" s="42"/>
      <c r="Q265" s="42"/>
      <c r="R265" s="45"/>
      <c r="S265" s="45"/>
    </row>
    <row r="266">
      <c r="C266" s="42"/>
      <c r="D266" s="42"/>
      <c r="E266" s="42"/>
      <c r="K266" s="42"/>
      <c r="L266" s="42"/>
      <c r="M266" s="42"/>
      <c r="Q266" s="42"/>
      <c r="R266" s="45"/>
      <c r="S266" s="45"/>
    </row>
    <row r="267">
      <c r="C267" s="42"/>
      <c r="D267" s="42"/>
      <c r="E267" s="42"/>
      <c r="K267" s="42"/>
      <c r="L267" s="42"/>
      <c r="M267" s="42"/>
      <c r="Q267" s="42"/>
      <c r="R267" s="45"/>
      <c r="S267" s="45"/>
    </row>
    <row r="268">
      <c r="C268" s="42"/>
      <c r="D268" s="42"/>
      <c r="E268" s="42"/>
      <c r="K268" s="42"/>
      <c r="L268" s="42"/>
      <c r="M268" s="42"/>
      <c r="Q268" s="42"/>
      <c r="R268" s="45"/>
      <c r="S268" s="45"/>
    </row>
    <row r="269">
      <c r="C269" s="42"/>
      <c r="D269" s="42"/>
      <c r="E269" s="42"/>
      <c r="K269" s="42"/>
      <c r="L269" s="42"/>
      <c r="M269" s="42"/>
      <c r="Q269" s="42"/>
      <c r="R269" s="45"/>
      <c r="S269" s="45"/>
    </row>
    <row r="270">
      <c r="C270" s="42"/>
      <c r="D270" s="42"/>
      <c r="E270" s="42"/>
      <c r="K270" s="42"/>
      <c r="L270" s="42"/>
      <c r="M270" s="42"/>
      <c r="Q270" s="42"/>
      <c r="R270" s="45"/>
      <c r="S270" s="45"/>
    </row>
    <row r="271">
      <c r="C271" s="42"/>
      <c r="D271" s="42"/>
      <c r="E271" s="42"/>
      <c r="K271" s="42"/>
      <c r="L271" s="42"/>
      <c r="M271" s="42"/>
      <c r="Q271" s="42"/>
      <c r="R271" s="45"/>
      <c r="S271" s="45"/>
    </row>
    <row r="272">
      <c r="C272" s="42"/>
      <c r="D272" s="42"/>
      <c r="E272" s="42"/>
      <c r="K272" s="42"/>
      <c r="L272" s="42"/>
      <c r="M272" s="42"/>
      <c r="Q272" s="42"/>
      <c r="R272" s="45"/>
      <c r="S272" s="45"/>
    </row>
    <row r="273">
      <c r="C273" s="42"/>
      <c r="D273" s="42"/>
      <c r="E273" s="42"/>
      <c r="K273" s="42"/>
      <c r="L273" s="42"/>
      <c r="M273" s="42"/>
      <c r="Q273" s="42"/>
      <c r="R273" s="45"/>
      <c r="S273" s="45"/>
    </row>
    <row r="274">
      <c r="C274" s="42"/>
      <c r="D274" s="42"/>
      <c r="E274" s="42"/>
      <c r="K274" s="42"/>
      <c r="L274" s="42"/>
      <c r="M274" s="42"/>
      <c r="Q274" s="42"/>
      <c r="R274" s="45"/>
      <c r="S274" s="45"/>
    </row>
    <row r="275">
      <c r="C275" s="42"/>
      <c r="D275" s="42"/>
      <c r="E275" s="42"/>
      <c r="K275" s="42"/>
      <c r="L275" s="42"/>
      <c r="M275" s="42"/>
      <c r="Q275" s="42"/>
      <c r="R275" s="45"/>
      <c r="S275" s="45"/>
    </row>
    <row r="276">
      <c r="C276" s="42"/>
      <c r="D276" s="42"/>
      <c r="E276" s="42"/>
      <c r="K276" s="42"/>
      <c r="L276" s="42"/>
      <c r="M276" s="42"/>
      <c r="Q276" s="42"/>
      <c r="R276" s="45"/>
      <c r="S276" s="45"/>
    </row>
    <row r="277">
      <c r="C277" s="42"/>
      <c r="D277" s="42"/>
      <c r="E277" s="42"/>
      <c r="K277" s="42"/>
      <c r="L277" s="42"/>
      <c r="M277" s="42"/>
      <c r="Q277" s="42"/>
      <c r="R277" s="45"/>
      <c r="S277" s="45"/>
    </row>
    <row r="278">
      <c r="C278" s="42"/>
      <c r="D278" s="42"/>
      <c r="E278" s="42"/>
      <c r="K278" s="42"/>
      <c r="L278" s="42"/>
      <c r="M278" s="42"/>
      <c r="Q278" s="42"/>
      <c r="R278" s="45"/>
      <c r="S278" s="45"/>
    </row>
    <row r="279">
      <c r="C279" s="42"/>
      <c r="D279" s="42"/>
      <c r="E279" s="42"/>
      <c r="K279" s="42"/>
      <c r="L279" s="42"/>
      <c r="M279" s="42"/>
      <c r="Q279" s="42"/>
      <c r="R279" s="45"/>
      <c r="S279" s="45"/>
    </row>
    <row r="280">
      <c r="C280" s="42"/>
      <c r="D280" s="42"/>
      <c r="E280" s="42"/>
      <c r="K280" s="42"/>
      <c r="L280" s="42"/>
      <c r="M280" s="42"/>
      <c r="Q280" s="42"/>
      <c r="R280" s="45"/>
      <c r="S280" s="45"/>
    </row>
    <row r="281">
      <c r="C281" s="42"/>
      <c r="D281" s="42"/>
      <c r="E281" s="42"/>
      <c r="K281" s="42"/>
      <c r="L281" s="42"/>
      <c r="M281" s="42"/>
      <c r="Q281" s="42"/>
      <c r="R281" s="45"/>
      <c r="S281" s="45"/>
    </row>
    <row r="282">
      <c r="C282" s="42"/>
      <c r="D282" s="42"/>
      <c r="E282" s="42"/>
      <c r="K282" s="42"/>
      <c r="L282" s="42"/>
      <c r="M282" s="42"/>
      <c r="Q282" s="42"/>
      <c r="R282" s="45"/>
      <c r="S282" s="45"/>
    </row>
    <row r="283">
      <c r="C283" s="42"/>
      <c r="D283" s="42"/>
      <c r="E283" s="42"/>
      <c r="K283" s="42"/>
      <c r="L283" s="42"/>
      <c r="M283" s="42"/>
      <c r="Q283" s="42"/>
      <c r="R283" s="45"/>
      <c r="S283" s="45"/>
    </row>
    <row r="284">
      <c r="C284" s="42"/>
      <c r="D284" s="42"/>
      <c r="E284" s="42"/>
      <c r="K284" s="42"/>
      <c r="L284" s="42"/>
      <c r="M284" s="42"/>
      <c r="Q284" s="42"/>
      <c r="R284" s="45"/>
      <c r="S284" s="45"/>
    </row>
    <row r="285">
      <c r="C285" s="42"/>
      <c r="D285" s="42"/>
      <c r="E285" s="42"/>
      <c r="K285" s="42"/>
      <c r="L285" s="42"/>
      <c r="M285" s="42"/>
      <c r="Q285" s="42"/>
      <c r="R285" s="45"/>
      <c r="S285" s="45"/>
    </row>
    <row r="286">
      <c r="C286" s="42"/>
      <c r="D286" s="42"/>
      <c r="E286" s="42"/>
      <c r="K286" s="42"/>
      <c r="L286" s="42"/>
      <c r="M286" s="42"/>
      <c r="Q286" s="42"/>
      <c r="R286" s="45"/>
      <c r="S286" s="45"/>
    </row>
    <row r="287">
      <c r="C287" s="42"/>
      <c r="D287" s="42"/>
      <c r="E287" s="42"/>
      <c r="K287" s="42"/>
      <c r="L287" s="42"/>
      <c r="M287" s="42"/>
      <c r="Q287" s="42"/>
      <c r="R287" s="45"/>
      <c r="S287" s="45"/>
    </row>
    <row r="288">
      <c r="C288" s="42"/>
      <c r="D288" s="42"/>
      <c r="E288" s="42"/>
      <c r="K288" s="42"/>
      <c r="L288" s="42"/>
      <c r="M288" s="42"/>
      <c r="Q288" s="42"/>
      <c r="R288" s="45"/>
      <c r="S288" s="45"/>
    </row>
    <row r="289">
      <c r="C289" s="42"/>
      <c r="D289" s="42"/>
      <c r="E289" s="42"/>
      <c r="K289" s="42"/>
      <c r="L289" s="42"/>
      <c r="M289" s="42"/>
      <c r="Q289" s="42"/>
      <c r="R289" s="45"/>
      <c r="S289" s="45"/>
    </row>
    <row r="290">
      <c r="C290" s="42"/>
      <c r="D290" s="42"/>
      <c r="E290" s="42"/>
      <c r="K290" s="42"/>
      <c r="L290" s="42"/>
      <c r="M290" s="42"/>
      <c r="Q290" s="42"/>
      <c r="R290" s="45"/>
      <c r="S290" s="45"/>
    </row>
    <row r="291">
      <c r="C291" s="42"/>
      <c r="D291" s="42"/>
      <c r="E291" s="42"/>
      <c r="K291" s="42"/>
      <c r="L291" s="42"/>
      <c r="M291" s="42"/>
      <c r="Q291" s="42"/>
      <c r="R291" s="45"/>
      <c r="S291" s="45"/>
    </row>
    <row r="292">
      <c r="C292" s="42"/>
      <c r="D292" s="42"/>
      <c r="E292" s="42"/>
      <c r="K292" s="42"/>
      <c r="L292" s="42"/>
      <c r="M292" s="42"/>
      <c r="Q292" s="42"/>
      <c r="R292" s="45"/>
      <c r="S292" s="45"/>
    </row>
    <row r="293">
      <c r="C293" s="42"/>
      <c r="D293" s="42"/>
      <c r="E293" s="42"/>
      <c r="K293" s="42"/>
      <c r="L293" s="42"/>
      <c r="M293" s="42"/>
      <c r="Q293" s="42"/>
      <c r="R293" s="45"/>
      <c r="S293" s="45"/>
    </row>
    <row r="294">
      <c r="C294" s="42"/>
      <c r="D294" s="42"/>
      <c r="E294" s="42"/>
      <c r="K294" s="42"/>
      <c r="L294" s="42"/>
      <c r="M294" s="42"/>
      <c r="Q294" s="42"/>
      <c r="R294" s="45"/>
      <c r="S294" s="45"/>
    </row>
    <row r="295">
      <c r="C295" s="42"/>
      <c r="D295" s="42"/>
      <c r="E295" s="42"/>
      <c r="K295" s="42"/>
      <c r="L295" s="42"/>
      <c r="M295" s="42"/>
      <c r="Q295" s="42"/>
      <c r="R295" s="45"/>
      <c r="S295" s="45"/>
    </row>
    <row r="296">
      <c r="C296" s="42"/>
      <c r="D296" s="42"/>
      <c r="E296" s="42"/>
      <c r="K296" s="42"/>
      <c r="L296" s="42"/>
      <c r="M296" s="42"/>
      <c r="Q296" s="42"/>
      <c r="R296" s="45"/>
      <c r="S296" s="45"/>
    </row>
    <row r="297">
      <c r="C297" s="42"/>
      <c r="D297" s="42"/>
      <c r="E297" s="42"/>
      <c r="K297" s="42"/>
      <c r="L297" s="42"/>
      <c r="M297" s="42"/>
      <c r="Q297" s="42"/>
      <c r="R297" s="45"/>
      <c r="S297" s="45"/>
    </row>
    <row r="298">
      <c r="C298" s="42"/>
      <c r="D298" s="42"/>
      <c r="E298" s="42"/>
      <c r="K298" s="42"/>
      <c r="L298" s="42"/>
      <c r="M298" s="42"/>
      <c r="Q298" s="42"/>
      <c r="R298" s="45"/>
      <c r="S298" s="45"/>
    </row>
    <row r="299">
      <c r="C299" s="42"/>
      <c r="D299" s="42"/>
      <c r="E299" s="42"/>
      <c r="K299" s="42"/>
      <c r="L299" s="42"/>
      <c r="M299" s="42"/>
      <c r="Q299" s="42"/>
      <c r="R299" s="45"/>
      <c r="S299" s="45"/>
    </row>
    <row r="300">
      <c r="C300" s="42"/>
      <c r="D300" s="42"/>
      <c r="E300" s="42"/>
      <c r="K300" s="42"/>
      <c r="L300" s="42"/>
      <c r="M300" s="42"/>
      <c r="Q300" s="42"/>
      <c r="R300" s="45"/>
      <c r="S300" s="45"/>
    </row>
    <row r="301">
      <c r="C301" s="42"/>
      <c r="D301" s="42"/>
      <c r="E301" s="42"/>
      <c r="K301" s="42"/>
      <c r="L301" s="42"/>
      <c r="M301" s="42"/>
      <c r="Q301" s="42"/>
      <c r="R301" s="45"/>
      <c r="S301" s="45"/>
    </row>
    <row r="302">
      <c r="C302" s="42"/>
      <c r="D302" s="42"/>
      <c r="E302" s="42"/>
      <c r="K302" s="42"/>
      <c r="L302" s="42"/>
      <c r="M302" s="42"/>
      <c r="Q302" s="42"/>
      <c r="R302" s="45"/>
      <c r="S302" s="45"/>
    </row>
    <row r="303">
      <c r="C303" s="42"/>
      <c r="D303" s="42"/>
      <c r="E303" s="42"/>
      <c r="K303" s="42"/>
      <c r="L303" s="42"/>
      <c r="M303" s="42"/>
      <c r="Q303" s="42"/>
      <c r="R303" s="45"/>
      <c r="S303" s="45"/>
    </row>
    <row r="304">
      <c r="C304" s="42"/>
      <c r="D304" s="42"/>
      <c r="E304" s="42"/>
      <c r="K304" s="42"/>
      <c r="L304" s="42"/>
      <c r="M304" s="42"/>
      <c r="Q304" s="42"/>
      <c r="R304" s="45"/>
      <c r="S304" s="45"/>
    </row>
    <row r="305">
      <c r="C305" s="42"/>
      <c r="D305" s="42"/>
      <c r="E305" s="42"/>
      <c r="K305" s="42"/>
      <c r="L305" s="42"/>
      <c r="M305" s="42"/>
      <c r="Q305" s="42"/>
      <c r="R305" s="45"/>
      <c r="S305" s="45"/>
    </row>
    <row r="306">
      <c r="C306" s="42"/>
      <c r="D306" s="42"/>
      <c r="E306" s="42"/>
      <c r="K306" s="42"/>
      <c r="L306" s="42"/>
      <c r="M306" s="42"/>
      <c r="Q306" s="42"/>
      <c r="R306" s="45"/>
      <c r="S306" s="45"/>
    </row>
    <row r="307">
      <c r="C307" s="42"/>
      <c r="D307" s="42"/>
      <c r="E307" s="42"/>
      <c r="K307" s="42"/>
      <c r="L307" s="42"/>
      <c r="M307" s="42"/>
      <c r="Q307" s="42"/>
      <c r="R307" s="45"/>
      <c r="S307" s="45"/>
    </row>
    <row r="308">
      <c r="C308" s="42"/>
      <c r="D308" s="42"/>
      <c r="E308" s="42"/>
      <c r="K308" s="42"/>
      <c r="L308" s="42"/>
      <c r="M308" s="42"/>
      <c r="Q308" s="42"/>
      <c r="R308" s="45"/>
      <c r="S308" s="45"/>
    </row>
    <row r="309">
      <c r="C309" s="42"/>
      <c r="D309" s="42"/>
      <c r="E309" s="42"/>
      <c r="K309" s="42"/>
      <c r="L309" s="42"/>
      <c r="M309" s="42"/>
      <c r="Q309" s="42"/>
      <c r="R309" s="45"/>
      <c r="S309" s="45"/>
    </row>
    <row r="310">
      <c r="C310" s="42"/>
      <c r="D310" s="42"/>
      <c r="E310" s="42"/>
      <c r="K310" s="42"/>
      <c r="L310" s="42"/>
      <c r="M310" s="42"/>
      <c r="Q310" s="42"/>
      <c r="R310" s="45"/>
      <c r="S310" s="45"/>
    </row>
    <row r="311">
      <c r="C311" s="42"/>
      <c r="D311" s="42"/>
      <c r="E311" s="42"/>
      <c r="K311" s="42"/>
      <c r="L311" s="42"/>
      <c r="M311" s="42"/>
      <c r="Q311" s="42"/>
      <c r="R311" s="45"/>
      <c r="S311" s="45"/>
    </row>
    <row r="312">
      <c r="C312" s="42"/>
      <c r="D312" s="42"/>
      <c r="E312" s="42"/>
      <c r="K312" s="42"/>
      <c r="L312" s="42"/>
      <c r="M312" s="42"/>
      <c r="Q312" s="42"/>
      <c r="R312" s="45"/>
      <c r="S312" s="45"/>
    </row>
    <row r="313">
      <c r="C313" s="42"/>
      <c r="D313" s="42"/>
      <c r="E313" s="42"/>
      <c r="K313" s="42"/>
      <c r="L313" s="42"/>
      <c r="M313" s="42"/>
      <c r="Q313" s="42"/>
      <c r="R313" s="45"/>
      <c r="S313" s="45"/>
    </row>
    <row r="314">
      <c r="C314" s="42"/>
      <c r="D314" s="42"/>
      <c r="E314" s="42"/>
      <c r="K314" s="42"/>
      <c r="L314" s="42"/>
      <c r="M314" s="42"/>
      <c r="Q314" s="42"/>
      <c r="R314" s="45"/>
      <c r="S314" s="45"/>
    </row>
    <row r="315">
      <c r="C315" s="42"/>
      <c r="D315" s="42"/>
      <c r="E315" s="42"/>
      <c r="K315" s="42"/>
      <c r="L315" s="42"/>
      <c r="M315" s="42"/>
      <c r="Q315" s="42"/>
      <c r="R315" s="45"/>
      <c r="S315" s="45"/>
    </row>
    <row r="316">
      <c r="C316" s="42"/>
      <c r="D316" s="42"/>
      <c r="E316" s="42"/>
      <c r="K316" s="42"/>
      <c r="L316" s="42"/>
      <c r="M316" s="42"/>
      <c r="Q316" s="42"/>
      <c r="R316" s="45"/>
      <c r="S316" s="45"/>
    </row>
    <row r="317">
      <c r="C317" s="42"/>
      <c r="D317" s="42"/>
      <c r="E317" s="42"/>
      <c r="K317" s="42"/>
      <c r="L317" s="42"/>
      <c r="M317" s="42"/>
      <c r="Q317" s="42"/>
      <c r="R317" s="45"/>
      <c r="S317" s="45"/>
    </row>
    <row r="318">
      <c r="C318" s="42"/>
      <c r="D318" s="42"/>
      <c r="E318" s="42"/>
      <c r="K318" s="42"/>
      <c r="L318" s="42"/>
      <c r="M318" s="42"/>
      <c r="Q318" s="42"/>
      <c r="R318" s="45"/>
      <c r="S318" s="45"/>
    </row>
    <row r="319">
      <c r="C319" s="42"/>
      <c r="D319" s="42"/>
      <c r="E319" s="42"/>
      <c r="K319" s="42"/>
      <c r="L319" s="42"/>
      <c r="M319" s="42"/>
      <c r="Q319" s="42"/>
      <c r="R319" s="45"/>
      <c r="S319" s="45"/>
    </row>
    <row r="320">
      <c r="C320" s="42"/>
      <c r="D320" s="42"/>
      <c r="E320" s="42"/>
      <c r="K320" s="42"/>
      <c r="L320" s="42"/>
      <c r="M320" s="42"/>
      <c r="Q320" s="42"/>
      <c r="R320" s="45"/>
      <c r="S320" s="45"/>
    </row>
    <row r="321">
      <c r="C321" s="42"/>
      <c r="D321" s="42"/>
      <c r="E321" s="42"/>
      <c r="K321" s="42"/>
      <c r="L321" s="42"/>
      <c r="M321" s="42"/>
      <c r="Q321" s="42"/>
      <c r="R321" s="45"/>
      <c r="S321" s="45"/>
    </row>
    <row r="322">
      <c r="C322" s="42"/>
      <c r="D322" s="42"/>
      <c r="E322" s="42"/>
      <c r="K322" s="42"/>
      <c r="L322" s="42"/>
      <c r="M322" s="42"/>
      <c r="Q322" s="42"/>
      <c r="R322" s="45"/>
      <c r="S322" s="45"/>
    </row>
    <row r="323">
      <c r="C323" s="42"/>
      <c r="D323" s="42"/>
      <c r="E323" s="42"/>
      <c r="K323" s="42"/>
      <c r="L323" s="42"/>
      <c r="M323" s="42"/>
      <c r="Q323" s="42"/>
      <c r="R323" s="45"/>
      <c r="S323" s="45"/>
    </row>
    <row r="324">
      <c r="C324" s="42"/>
      <c r="D324" s="42"/>
      <c r="E324" s="42"/>
      <c r="K324" s="42"/>
      <c r="L324" s="42"/>
      <c r="M324" s="42"/>
      <c r="Q324" s="42"/>
      <c r="R324" s="45"/>
      <c r="S324" s="45"/>
    </row>
    <row r="325">
      <c r="C325" s="42"/>
      <c r="D325" s="42"/>
      <c r="E325" s="42"/>
      <c r="K325" s="42"/>
      <c r="L325" s="42"/>
      <c r="M325" s="42"/>
      <c r="Q325" s="42"/>
      <c r="R325" s="45"/>
      <c r="S325" s="45"/>
    </row>
    <row r="326">
      <c r="C326" s="42"/>
      <c r="D326" s="42"/>
      <c r="E326" s="42"/>
      <c r="K326" s="42"/>
      <c r="L326" s="42"/>
      <c r="M326" s="42"/>
      <c r="Q326" s="42"/>
      <c r="R326" s="45"/>
      <c r="S326" s="45"/>
    </row>
    <row r="327">
      <c r="C327" s="42"/>
      <c r="D327" s="42"/>
      <c r="E327" s="42"/>
      <c r="K327" s="42"/>
      <c r="L327" s="42"/>
      <c r="M327" s="42"/>
      <c r="Q327" s="42"/>
      <c r="R327" s="45"/>
      <c r="S327" s="45"/>
    </row>
    <row r="328">
      <c r="C328" s="42"/>
      <c r="D328" s="42"/>
      <c r="E328" s="42"/>
      <c r="K328" s="42"/>
      <c r="L328" s="42"/>
      <c r="M328" s="42"/>
      <c r="Q328" s="42"/>
      <c r="R328" s="45"/>
      <c r="S328" s="45"/>
    </row>
    <row r="329">
      <c r="C329" s="42"/>
      <c r="D329" s="42"/>
      <c r="E329" s="42"/>
      <c r="K329" s="42"/>
      <c r="L329" s="42"/>
      <c r="M329" s="42"/>
      <c r="Q329" s="42"/>
      <c r="R329" s="45"/>
      <c r="S329" s="45"/>
    </row>
    <row r="330">
      <c r="C330" s="42"/>
      <c r="D330" s="42"/>
      <c r="E330" s="42"/>
      <c r="K330" s="42"/>
      <c r="L330" s="42"/>
      <c r="M330" s="42"/>
      <c r="Q330" s="42"/>
      <c r="R330" s="45"/>
      <c r="S330" s="45"/>
    </row>
    <row r="331">
      <c r="C331" s="42"/>
      <c r="D331" s="42"/>
      <c r="E331" s="42"/>
      <c r="K331" s="42"/>
      <c r="L331" s="42"/>
      <c r="M331" s="42"/>
      <c r="Q331" s="42"/>
      <c r="R331" s="45"/>
      <c r="S331" s="45"/>
    </row>
    <row r="332">
      <c r="C332" s="42"/>
      <c r="D332" s="42"/>
      <c r="E332" s="42"/>
      <c r="K332" s="42"/>
      <c r="L332" s="42"/>
      <c r="M332" s="42"/>
      <c r="Q332" s="42"/>
      <c r="R332" s="45"/>
      <c r="S332" s="45"/>
    </row>
    <row r="333">
      <c r="C333" s="42"/>
      <c r="D333" s="42"/>
      <c r="E333" s="42"/>
      <c r="K333" s="42"/>
      <c r="L333" s="42"/>
      <c r="M333" s="42"/>
      <c r="Q333" s="42"/>
      <c r="R333" s="45"/>
      <c r="S333" s="45"/>
    </row>
    <row r="334">
      <c r="C334" s="42"/>
      <c r="D334" s="42"/>
      <c r="E334" s="42"/>
      <c r="K334" s="42"/>
      <c r="L334" s="42"/>
      <c r="M334" s="42"/>
      <c r="Q334" s="42"/>
      <c r="R334" s="45"/>
      <c r="S334" s="45"/>
    </row>
    <row r="335">
      <c r="C335" s="42"/>
      <c r="D335" s="42"/>
      <c r="E335" s="42"/>
      <c r="K335" s="42"/>
      <c r="L335" s="42"/>
      <c r="M335" s="42"/>
      <c r="Q335" s="42"/>
      <c r="R335" s="45"/>
      <c r="S335" s="45"/>
    </row>
    <row r="336">
      <c r="C336" s="42"/>
      <c r="D336" s="42"/>
      <c r="E336" s="42"/>
      <c r="K336" s="42"/>
      <c r="L336" s="42"/>
      <c r="M336" s="42"/>
      <c r="Q336" s="42"/>
      <c r="R336" s="45"/>
      <c r="S336" s="45"/>
    </row>
    <row r="337">
      <c r="C337" s="42"/>
      <c r="D337" s="42"/>
      <c r="E337" s="42"/>
      <c r="K337" s="42"/>
      <c r="L337" s="42"/>
      <c r="M337" s="42"/>
      <c r="Q337" s="42"/>
      <c r="R337" s="45"/>
      <c r="S337" s="45"/>
    </row>
    <row r="338">
      <c r="C338" s="42"/>
      <c r="D338" s="42"/>
      <c r="E338" s="42"/>
      <c r="K338" s="42"/>
      <c r="L338" s="42"/>
      <c r="M338" s="42"/>
      <c r="Q338" s="42"/>
      <c r="R338" s="45"/>
      <c r="S338" s="45"/>
    </row>
    <row r="339">
      <c r="C339" s="42"/>
      <c r="D339" s="42"/>
      <c r="E339" s="42"/>
      <c r="K339" s="42"/>
      <c r="L339" s="42"/>
      <c r="M339" s="42"/>
      <c r="Q339" s="42"/>
      <c r="R339" s="45"/>
      <c r="S339" s="45"/>
    </row>
    <row r="340">
      <c r="C340" s="42"/>
      <c r="D340" s="42"/>
      <c r="E340" s="42"/>
      <c r="K340" s="42"/>
      <c r="L340" s="42"/>
      <c r="M340" s="42"/>
      <c r="Q340" s="42"/>
      <c r="R340" s="45"/>
      <c r="S340" s="45"/>
    </row>
    <row r="341">
      <c r="C341" s="42"/>
      <c r="D341" s="42"/>
      <c r="E341" s="42"/>
      <c r="K341" s="42"/>
      <c r="L341" s="42"/>
      <c r="M341" s="42"/>
      <c r="Q341" s="42"/>
      <c r="R341" s="45"/>
      <c r="S341" s="45"/>
    </row>
    <row r="342">
      <c r="C342" s="42"/>
      <c r="D342" s="42"/>
      <c r="E342" s="42"/>
      <c r="K342" s="42"/>
      <c r="L342" s="42"/>
      <c r="M342" s="42"/>
      <c r="Q342" s="42"/>
      <c r="R342" s="45"/>
      <c r="S342" s="45"/>
    </row>
    <row r="343">
      <c r="C343" s="42"/>
      <c r="D343" s="42"/>
      <c r="E343" s="42"/>
      <c r="K343" s="42"/>
      <c r="L343" s="42"/>
      <c r="M343" s="42"/>
      <c r="Q343" s="42"/>
      <c r="R343" s="45"/>
      <c r="S343" s="45"/>
    </row>
    <row r="344">
      <c r="C344" s="42"/>
      <c r="D344" s="42"/>
      <c r="E344" s="42"/>
      <c r="K344" s="42"/>
      <c r="L344" s="42"/>
      <c r="M344" s="42"/>
      <c r="Q344" s="42"/>
      <c r="R344" s="45"/>
      <c r="S344" s="45"/>
    </row>
    <row r="345">
      <c r="C345" s="42"/>
      <c r="D345" s="42"/>
      <c r="E345" s="42"/>
      <c r="K345" s="42"/>
      <c r="L345" s="42"/>
      <c r="M345" s="42"/>
      <c r="Q345" s="42"/>
      <c r="R345" s="45"/>
      <c r="S345" s="45"/>
    </row>
    <row r="346">
      <c r="C346" s="42"/>
      <c r="D346" s="42"/>
      <c r="E346" s="42"/>
      <c r="K346" s="42"/>
      <c r="L346" s="42"/>
      <c r="M346" s="42"/>
      <c r="Q346" s="42"/>
      <c r="R346" s="45"/>
      <c r="S346" s="45"/>
    </row>
    <row r="347">
      <c r="C347" s="42"/>
      <c r="D347" s="42"/>
      <c r="E347" s="42"/>
      <c r="K347" s="42"/>
      <c r="L347" s="42"/>
      <c r="M347" s="42"/>
      <c r="Q347" s="42"/>
      <c r="R347" s="45"/>
      <c r="S347" s="45"/>
    </row>
    <row r="348">
      <c r="C348" s="42"/>
      <c r="D348" s="42"/>
      <c r="E348" s="42"/>
      <c r="K348" s="42"/>
      <c r="L348" s="42"/>
      <c r="M348" s="42"/>
      <c r="Q348" s="42"/>
      <c r="R348" s="45"/>
      <c r="S348" s="45"/>
    </row>
    <row r="349">
      <c r="C349" s="42"/>
      <c r="D349" s="42"/>
      <c r="E349" s="42"/>
      <c r="K349" s="42"/>
      <c r="L349" s="42"/>
      <c r="M349" s="42"/>
      <c r="Q349" s="42"/>
      <c r="R349" s="45"/>
      <c r="S349" s="45"/>
    </row>
    <row r="350">
      <c r="C350" s="42"/>
      <c r="D350" s="42"/>
      <c r="E350" s="42"/>
      <c r="K350" s="42"/>
      <c r="L350" s="42"/>
      <c r="M350" s="42"/>
      <c r="Q350" s="42"/>
      <c r="R350" s="45"/>
      <c r="S350" s="45"/>
    </row>
    <row r="351">
      <c r="C351" s="42"/>
      <c r="D351" s="42"/>
      <c r="E351" s="42"/>
      <c r="K351" s="42"/>
      <c r="L351" s="42"/>
      <c r="M351" s="42"/>
      <c r="Q351" s="42"/>
      <c r="R351" s="45"/>
      <c r="S351" s="45"/>
    </row>
    <row r="352">
      <c r="C352" s="42"/>
      <c r="D352" s="42"/>
      <c r="E352" s="42"/>
      <c r="K352" s="42"/>
      <c r="L352" s="42"/>
      <c r="M352" s="42"/>
      <c r="Q352" s="42"/>
      <c r="R352" s="45"/>
      <c r="S352" s="45"/>
    </row>
    <row r="353">
      <c r="C353" s="42"/>
      <c r="D353" s="42"/>
      <c r="E353" s="42"/>
      <c r="K353" s="42"/>
      <c r="L353" s="42"/>
      <c r="M353" s="42"/>
      <c r="Q353" s="42"/>
      <c r="R353" s="45"/>
      <c r="S353" s="45"/>
    </row>
    <row r="354">
      <c r="C354" s="42"/>
      <c r="D354" s="42"/>
      <c r="E354" s="42"/>
      <c r="K354" s="42"/>
      <c r="L354" s="42"/>
      <c r="M354" s="42"/>
      <c r="Q354" s="42"/>
      <c r="R354" s="45"/>
      <c r="S354" s="45"/>
    </row>
    <row r="355">
      <c r="C355" s="42"/>
      <c r="D355" s="42"/>
      <c r="E355" s="42"/>
      <c r="K355" s="42"/>
      <c r="L355" s="42"/>
      <c r="M355" s="42"/>
      <c r="Q355" s="42"/>
      <c r="R355" s="45"/>
      <c r="S355" s="45"/>
    </row>
    <row r="356">
      <c r="C356" s="42"/>
      <c r="D356" s="42"/>
      <c r="E356" s="42"/>
      <c r="K356" s="42"/>
      <c r="L356" s="42"/>
      <c r="M356" s="42"/>
      <c r="Q356" s="42"/>
      <c r="R356" s="45"/>
      <c r="S356" s="45"/>
    </row>
    <row r="357">
      <c r="C357" s="42"/>
      <c r="D357" s="42"/>
      <c r="E357" s="42"/>
      <c r="K357" s="42"/>
      <c r="L357" s="42"/>
      <c r="M357" s="42"/>
      <c r="Q357" s="42"/>
      <c r="R357" s="45"/>
      <c r="S357" s="45"/>
    </row>
    <row r="358">
      <c r="C358" s="42"/>
      <c r="D358" s="42"/>
      <c r="E358" s="42"/>
      <c r="K358" s="42"/>
      <c r="L358" s="42"/>
      <c r="M358" s="42"/>
      <c r="Q358" s="42"/>
      <c r="R358" s="45"/>
      <c r="S358" s="45"/>
    </row>
    <row r="359">
      <c r="C359" s="42"/>
      <c r="D359" s="42"/>
      <c r="E359" s="42"/>
      <c r="K359" s="42"/>
      <c r="L359" s="42"/>
      <c r="M359" s="42"/>
      <c r="Q359" s="42"/>
      <c r="R359" s="45"/>
      <c r="S359" s="45"/>
    </row>
    <row r="360">
      <c r="C360" s="42"/>
      <c r="D360" s="42"/>
      <c r="E360" s="42"/>
      <c r="K360" s="42"/>
      <c r="L360" s="42"/>
      <c r="M360" s="42"/>
      <c r="Q360" s="42"/>
      <c r="R360" s="45"/>
      <c r="S360" s="45"/>
    </row>
    <row r="361">
      <c r="C361" s="42"/>
      <c r="D361" s="42"/>
      <c r="E361" s="42"/>
      <c r="K361" s="42"/>
      <c r="L361" s="42"/>
      <c r="M361" s="42"/>
      <c r="Q361" s="42"/>
      <c r="R361" s="45"/>
      <c r="S361" s="45"/>
    </row>
    <row r="362">
      <c r="C362" s="42"/>
      <c r="D362" s="42"/>
      <c r="E362" s="42"/>
      <c r="K362" s="42"/>
      <c r="L362" s="42"/>
      <c r="M362" s="42"/>
      <c r="Q362" s="42"/>
      <c r="R362" s="45"/>
      <c r="S362" s="45"/>
    </row>
    <row r="363">
      <c r="C363" s="42"/>
      <c r="D363" s="42"/>
      <c r="E363" s="42"/>
      <c r="K363" s="42"/>
      <c r="L363" s="42"/>
      <c r="M363" s="42"/>
      <c r="Q363" s="42"/>
      <c r="R363" s="45"/>
      <c r="S363" s="45"/>
    </row>
    <row r="364">
      <c r="C364" s="42"/>
      <c r="D364" s="42"/>
      <c r="E364" s="42"/>
      <c r="K364" s="42"/>
      <c r="L364" s="42"/>
      <c r="M364" s="42"/>
      <c r="Q364" s="42"/>
      <c r="R364" s="45"/>
      <c r="S364" s="45"/>
    </row>
    <row r="365">
      <c r="C365" s="42"/>
      <c r="D365" s="42"/>
      <c r="E365" s="42"/>
      <c r="K365" s="42"/>
      <c r="L365" s="42"/>
      <c r="M365" s="42"/>
      <c r="Q365" s="42"/>
      <c r="R365" s="45"/>
      <c r="S365" s="45"/>
    </row>
    <row r="366">
      <c r="C366" s="42"/>
      <c r="D366" s="42"/>
      <c r="E366" s="42"/>
      <c r="K366" s="42"/>
      <c r="L366" s="42"/>
      <c r="M366" s="42"/>
      <c r="Q366" s="42"/>
      <c r="R366" s="45"/>
      <c r="S366" s="45"/>
    </row>
    <row r="367">
      <c r="C367" s="42"/>
      <c r="D367" s="42"/>
      <c r="E367" s="42"/>
      <c r="K367" s="42"/>
      <c r="L367" s="42"/>
      <c r="M367" s="42"/>
      <c r="Q367" s="42"/>
      <c r="R367" s="45"/>
      <c r="S367" s="45"/>
    </row>
    <row r="368">
      <c r="C368" s="42"/>
      <c r="D368" s="42"/>
      <c r="E368" s="42"/>
      <c r="K368" s="42"/>
      <c r="L368" s="42"/>
      <c r="M368" s="42"/>
      <c r="Q368" s="42"/>
      <c r="R368" s="45"/>
      <c r="S368" s="45"/>
    </row>
    <row r="369">
      <c r="C369" s="42"/>
      <c r="D369" s="42"/>
      <c r="E369" s="42"/>
      <c r="K369" s="42"/>
      <c r="L369" s="42"/>
      <c r="M369" s="42"/>
      <c r="Q369" s="42"/>
      <c r="R369" s="45"/>
      <c r="S369" s="45"/>
    </row>
    <row r="370">
      <c r="C370" s="42"/>
      <c r="D370" s="42"/>
      <c r="E370" s="42"/>
      <c r="K370" s="42"/>
      <c r="L370" s="42"/>
      <c r="M370" s="42"/>
      <c r="Q370" s="42"/>
      <c r="R370" s="45"/>
      <c r="S370" s="45"/>
    </row>
    <row r="371">
      <c r="C371" s="42"/>
      <c r="D371" s="42"/>
      <c r="E371" s="42"/>
      <c r="K371" s="42"/>
      <c r="L371" s="42"/>
      <c r="M371" s="42"/>
      <c r="Q371" s="42"/>
      <c r="R371" s="45"/>
      <c r="S371" s="45"/>
    </row>
    <row r="372">
      <c r="C372" s="42"/>
      <c r="D372" s="42"/>
      <c r="E372" s="42"/>
      <c r="K372" s="42"/>
      <c r="L372" s="42"/>
      <c r="M372" s="42"/>
      <c r="Q372" s="42"/>
      <c r="R372" s="45"/>
      <c r="S372" s="45"/>
    </row>
    <row r="373">
      <c r="C373" s="42"/>
      <c r="D373" s="42"/>
      <c r="E373" s="42"/>
      <c r="K373" s="42"/>
      <c r="L373" s="42"/>
      <c r="M373" s="42"/>
      <c r="Q373" s="42"/>
      <c r="R373" s="45"/>
      <c r="S373" s="45"/>
    </row>
    <row r="374">
      <c r="C374" s="42"/>
      <c r="D374" s="42"/>
      <c r="E374" s="42"/>
      <c r="K374" s="42"/>
      <c r="L374" s="42"/>
      <c r="M374" s="42"/>
      <c r="Q374" s="42"/>
      <c r="R374" s="45"/>
      <c r="S374" s="45"/>
    </row>
    <row r="375">
      <c r="C375" s="42"/>
      <c r="D375" s="42"/>
      <c r="E375" s="42"/>
      <c r="K375" s="42"/>
      <c r="L375" s="42"/>
      <c r="M375" s="42"/>
      <c r="Q375" s="42"/>
      <c r="R375" s="45"/>
      <c r="S375" s="45"/>
    </row>
    <row r="376">
      <c r="C376" s="42"/>
      <c r="D376" s="42"/>
      <c r="E376" s="42"/>
      <c r="K376" s="42"/>
      <c r="L376" s="42"/>
      <c r="M376" s="42"/>
      <c r="Q376" s="42"/>
      <c r="R376" s="45"/>
      <c r="S376" s="45"/>
    </row>
    <row r="377">
      <c r="C377" s="42"/>
      <c r="D377" s="42"/>
      <c r="E377" s="42"/>
      <c r="K377" s="42"/>
      <c r="L377" s="42"/>
      <c r="M377" s="42"/>
      <c r="Q377" s="42"/>
      <c r="R377" s="45"/>
      <c r="S377" s="45"/>
    </row>
    <row r="378">
      <c r="C378" s="42"/>
      <c r="D378" s="42"/>
      <c r="E378" s="42"/>
      <c r="K378" s="42"/>
      <c r="L378" s="42"/>
      <c r="M378" s="42"/>
      <c r="Q378" s="42"/>
      <c r="R378" s="45"/>
      <c r="S378" s="45"/>
    </row>
    <row r="379">
      <c r="C379" s="42"/>
      <c r="D379" s="42"/>
      <c r="E379" s="42"/>
      <c r="K379" s="42"/>
      <c r="L379" s="42"/>
      <c r="M379" s="42"/>
      <c r="Q379" s="42"/>
      <c r="R379" s="45"/>
      <c r="S379" s="45"/>
    </row>
    <row r="380">
      <c r="C380" s="42"/>
      <c r="D380" s="42"/>
      <c r="E380" s="42"/>
      <c r="K380" s="42"/>
      <c r="L380" s="42"/>
      <c r="M380" s="42"/>
      <c r="Q380" s="42"/>
      <c r="R380" s="45"/>
      <c r="S380" s="45"/>
    </row>
    <row r="381">
      <c r="C381" s="42"/>
      <c r="D381" s="42"/>
      <c r="E381" s="42"/>
      <c r="K381" s="42"/>
      <c r="L381" s="42"/>
      <c r="M381" s="42"/>
      <c r="Q381" s="42"/>
      <c r="R381" s="45"/>
      <c r="S381" s="45"/>
    </row>
    <row r="382">
      <c r="C382" s="42"/>
      <c r="D382" s="42"/>
      <c r="E382" s="42"/>
      <c r="K382" s="42"/>
      <c r="L382" s="42"/>
      <c r="M382" s="42"/>
      <c r="Q382" s="42"/>
      <c r="R382" s="45"/>
      <c r="S382" s="45"/>
    </row>
    <row r="383">
      <c r="C383" s="42"/>
      <c r="D383" s="42"/>
      <c r="E383" s="42"/>
      <c r="K383" s="42"/>
      <c r="L383" s="42"/>
      <c r="M383" s="42"/>
      <c r="Q383" s="42"/>
      <c r="R383" s="45"/>
      <c r="S383" s="45"/>
    </row>
    <row r="384">
      <c r="C384" s="42"/>
      <c r="D384" s="42"/>
      <c r="E384" s="42"/>
      <c r="K384" s="42"/>
      <c r="L384" s="42"/>
      <c r="M384" s="42"/>
      <c r="Q384" s="42"/>
      <c r="R384" s="45"/>
      <c r="S384" s="45"/>
    </row>
    <row r="385">
      <c r="C385" s="42"/>
      <c r="D385" s="42"/>
      <c r="E385" s="42"/>
      <c r="K385" s="42"/>
      <c r="L385" s="42"/>
      <c r="M385" s="42"/>
      <c r="Q385" s="42"/>
      <c r="R385" s="45"/>
      <c r="S385" s="45"/>
    </row>
    <row r="386">
      <c r="C386" s="42"/>
      <c r="D386" s="42"/>
      <c r="E386" s="42"/>
      <c r="K386" s="42"/>
      <c r="L386" s="42"/>
      <c r="M386" s="42"/>
      <c r="Q386" s="42"/>
      <c r="R386" s="45"/>
      <c r="S386" s="45"/>
    </row>
    <row r="387">
      <c r="C387" s="42"/>
      <c r="D387" s="42"/>
      <c r="E387" s="42"/>
      <c r="K387" s="42"/>
      <c r="L387" s="42"/>
      <c r="M387" s="42"/>
      <c r="Q387" s="42"/>
      <c r="R387" s="45"/>
      <c r="S387" s="45"/>
    </row>
    <row r="388">
      <c r="C388" s="42"/>
      <c r="D388" s="42"/>
      <c r="E388" s="42"/>
      <c r="K388" s="42"/>
      <c r="L388" s="42"/>
      <c r="M388" s="42"/>
      <c r="Q388" s="42"/>
      <c r="R388" s="45"/>
      <c r="S388" s="45"/>
    </row>
    <row r="389">
      <c r="C389" s="42"/>
      <c r="D389" s="42"/>
      <c r="E389" s="42"/>
      <c r="K389" s="42"/>
      <c r="L389" s="42"/>
      <c r="M389" s="42"/>
      <c r="Q389" s="42"/>
      <c r="R389" s="45"/>
      <c r="S389" s="45"/>
    </row>
    <row r="390">
      <c r="C390" s="42"/>
      <c r="D390" s="42"/>
      <c r="E390" s="42"/>
      <c r="K390" s="42"/>
      <c r="L390" s="42"/>
      <c r="M390" s="42"/>
      <c r="Q390" s="42"/>
      <c r="R390" s="45"/>
      <c r="S390" s="45"/>
    </row>
    <row r="391">
      <c r="C391" s="42"/>
      <c r="D391" s="42"/>
      <c r="E391" s="42"/>
      <c r="K391" s="42"/>
      <c r="L391" s="42"/>
      <c r="M391" s="42"/>
      <c r="Q391" s="42"/>
      <c r="R391" s="45"/>
      <c r="S391" s="45"/>
    </row>
    <row r="392">
      <c r="C392" s="42"/>
      <c r="D392" s="42"/>
      <c r="E392" s="42"/>
      <c r="K392" s="42"/>
      <c r="L392" s="42"/>
      <c r="M392" s="42"/>
      <c r="Q392" s="42"/>
      <c r="R392" s="45"/>
      <c r="S392" s="45"/>
    </row>
    <row r="393">
      <c r="C393" s="42"/>
      <c r="D393" s="42"/>
      <c r="E393" s="42"/>
      <c r="K393" s="42"/>
      <c r="L393" s="42"/>
      <c r="M393" s="42"/>
      <c r="Q393" s="42"/>
      <c r="R393" s="45"/>
      <c r="S393" s="45"/>
    </row>
    <row r="394">
      <c r="C394" s="42"/>
      <c r="D394" s="42"/>
      <c r="E394" s="42"/>
      <c r="K394" s="42"/>
      <c r="L394" s="42"/>
      <c r="M394" s="42"/>
      <c r="Q394" s="42"/>
      <c r="R394" s="45"/>
      <c r="S394" s="45"/>
    </row>
    <row r="395">
      <c r="C395" s="42"/>
      <c r="D395" s="42"/>
      <c r="E395" s="42"/>
      <c r="K395" s="42"/>
      <c r="L395" s="42"/>
      <c r="M395" s="42"/>
      <c r="Q395" s="42"/>
      <c r="R395" s="45"/>
      <c r="S395" s="45"/>
    </row>
    <row r="396">
      <c r="C396" s="42"/>
      <c r="D396" s="42"/>
      <c r="E396" s="42"/>
      <c r="K396" s="42"/>
      <c r="L396" s="42"/>
      <c r="M396" s="42"/>
      <c r="Q396" s="42"/>
      <c r="R396" s="45"/>
      <c r="S396" s="45"/>
    </row>
    <row r="397">
      <c r="C397" s="42"/>
      <c r="D397" s="42"/>
      <c r="E397" s="42"/>
      <c r="K397" s="42"/>
      <c r="L397" s="42"/>
      <c r="M397" s="42"/>
      <c r="Q397" s="42"/>
      <c r="R397" s="45"/>
      <c r="S397" s="45"/>
    </row>
    <row r="398">
      <c r="C398" s="42"/>
      <c r="D398" s="42"/>
      <c r="E398" s="42"/>
      <c r="K398" s="42"/>
      <c r="L398" s="42"/>
      <c r="M398" s="42"/>
      <c r="Q398" s="42"/>
      <c r="R398" s="45"/>
      <c r="S398" s="45"/>
    </row>
    <row r="399">
      <c r="C399" s="42"/>
      <c r="D399" s="42"/>
      <c r="E399" s="42"/>
      <c r="K399" s="42"/>
      <c r="L399" s="42"/>
      <c r="M399" s="42"/>
      <c r="Q399" s="42"/>
      <c r="R399" s="45"/>
      <c r="S399" s="45"/>
    </row>
    <row r="400">
      <c r="C400" s="42"/>
      <c r="D400" s="42"/>
      <c r="E400" s="42"/>
      <c r="K400" s="42"/>
      <c r="L400" s="42"/>
      <c r="M400" s="42"/>
      <c r="Q400" s="42"/>
      <c r="R400" s="45"/>
      <c r="S400" s="45"/>
    </row>
    <row r="401">
      <c r="C401" s="42"/>
      <c r="D401" s="42"/>
      <c r="E401" s="42"/>
      <c r="K401" s="42"/>
      <c r="L401" s="42"/>
      <c r="M401" s="42"/>
      <c r="Q401" s="42"/>
      <c r="R401" s="45"/>
      <c r="S401" s="45"/>
    </row>
    <row r="402">
      <c r="C402" s="42"/>
      <c r="D402" s="42"/>
      <c r="E402" s="42"/>
      <c r="K402" s="42"/>
      <c r="L402" s="42"/>
      <c r="M402" s="42"/>
      <c r="Q402" s="42"/>
      <c r="R402" s="45"/>
      <c r="S402" s="45"/>
    </row>
    <row r="403">
      <c r="C403" s="42"/>
      <c r="D403" s="42"/>
      <c r="E403" s="42"/>
      <c r="K403" s="42"/>
      <c r="L403" s="42"/>
      <c r="M403" s="42"/>
      <c r="Q403" s="42"/>
      <c r="R403" s="45"/>
      <c r="S403" s="45"/>
    </row>
    <row r="404">
      <c r="C404" s="42"/>
      <c r="D404" s="42"/>
      <c r="E404" s="42"/>
      <c r="K404" s="42"/>
      <c r="L404" s="42"/>
      <c r="M404" s="42"/>
      <c r="Q404" s="42"/>
      <c r="R404" s="45"/>
      <c r="S404" s="45"/>
    </row>
    <row r="405">
      <c r="C405" s="42"/>
      <c r="D405" s="42"/>
      <c r="E405" s="42"/>
      <c r="K405" s="42"/>
      <c r="L405" s="42"/>
      <c r="M405" s="42"/>
      <c r="Q405" s="42"/>
      <c r="R405" s="45"/>
      <c r="S405" s="45"/>
    </row>
    <row r="406">
      <c r="C406" s="42"/>
      <c r="D406" s="42"/>
      <c r="E406" s="42"/>
      <c r="K406" s="42"/>
      <c r="L406" s="42"/>
      <c r="M406" s="42"/>
      <c r="Q406" s="42"/>
      <c r="R406" s="45"/>
      <c r="S406" s="45"/>
    </row>
    <row r="407">
      <c r="C407" s="42"/>
      <c r="D407" s="42"/>
      <c r="E407" s="42"/>
      <c r="K407" s="42"/>
      <c r="L407" s="42"/>
      <c r="M407" s="42"/>
      <c r="Q407" s="42"/>
      <c r="R407" s="45"/>
      <c r="S407" s="45"/>
    </row>
    <row r="408">
      <c r="C408" s="42"/>
      <c r="D408" s="42"/>
      <c r="E408" s="42"/>
      <c r="K408" s="42"/>
      <c r="L408" s="42"/>
      <c r="M408" s="42"/>
      <c r="Q408" s="42"/>
      <c r="R408" s="45"/>
      <c r="S408" s="45"/>
    </row>
    <row r="409">
      <c r="C409" s="42"/>
      <c r="D409" s="42"/>
      <c r="E409" s="42"/>
      <c r="K409" s="42"/>
      <c r="L409" s="42"/>
      <c r="M409" s="42"/>
      <c r="Q409" s="42"/>
      <c r="R409" s="45"/>
      <c r="S409" s="45"/>
    </row>
    <row r="410">
      <c r="C410" s="42"/>
      <c r="D410" s="42"/>
      <c r="E410" s="42"/>
      <c r="K410" s="42"/>
      <c r="L410" s="42"/>
      <c r="M410" s="42"/>
      <c r="Q410" s="42"/>
      <c r="R410" s="45"/>
      <c r="S410" s="45"/>
    </row>
    <row r="411">
      <c r="C411" s="42"/>
      <c r="D411" s="42"/>
      <c r="E411" s="42"/>
      <c r="K411" s="42"/>
      <c r="L411" s="42"/>
      <c r="M411" s="42"/>
      <c r="Q411" s="42"/>
      <c r="R411" s="45"/>
      <c r="S411" s="45"/>
    </row>
    <row r="412">
      <c r="C412" s="42"/>
      <c r="D412" s="42"/>
      <c r="E412" s="42"/>
      <c r="K412" s="42"/>
      <c r="L412" s="42"/>
      <c r="M412" s="42"/>
      <c r="Q412" s="42"/>
      <c r="R412" s="45"/>
      <c r="S412" s="45"/>
    </row>
    <row r="413">
      <c r="C413" s="42"/>
      <c r="D413" s="42"/>
      <c r="E413" s="42"/>
      <c r="K413" s="42"/>
      <c r="L413" s="42"/>
      <c r="M413" s="42"/>
      <c r="Q413" s="42"/>
      <c r="R413" s="45"/>
      <c r="S413" s="45"/>
    </row>
    <row r="414">
      <c r="C414" s="42"/>
      <c r="D414" s="42"/>
      <c r="E414" s="42"/>
      <c r="K414" s="42"/>
      <c r="L414" s="42"/>
      <c r="M414" s="42"/>
      <c r="Q414" s="42"/>
      <c r="R414" s="45"/>
      <c r="S414" s="45"/>
    </row>
    <row r="415">
      <c r="C415" s="42"/>
      <c r="D415" s="42"/>
      <c r="E415" s="42"/>
      <c r="K415" s="42"/>
      <c r="L415" s="42"/>
      <c r="M415" s="42"/>
      <c r="Q415" s="42"/>
      <c r="R415" s="45"/>
      <c r="S415" s="45"/>
    </row>
    <row r="416">
      <c r="C416" s="42"/>
      <c r="D416" s="42"/>
      <c r="E416" s="42"/>
      <c r="K416" s="42"/>
      <c r="L416" s="42"/>
      <c r="M416" s="42"/>
      <c r="Q416" s="42"/>
      <c r="R416" s="45"/>
      <c r="S416" s="45"/>
    </row>
    <row r="417">
      <c r="C417" s="42"/>
      <c r="D417" s="42"/>
      <c r="E417" s="42"/>
      <c r="K417" s="42"/>
      <c r="L417" s="42"/>
      <c r="M417" s="42"/>
      <c r="Q417" s="42"/>
      <c r="R417" s="45"/>
      <c r="S417" s="45"/>
    </row>
    <row r="418">
      <c r="C418" s="42"/>
      <c r="D418" s="42"/>
      <c r="E418" s="42"/>
      <c r="K418" s="42"/>
      <c r="L418" s="42"/>
      <c r="M418" s="42"/>
      <c r="Q418" s="42"/>
      <c r="R418" s="45"/>
      <c r="S418" s="45"/>
    </row>
    <row r="419">
      <c r="C419" s="42"/>
      <c r="D419" s="42"/>
      <c r="E419" s="42"/>
      <c r="K419" s="42"/>
      <c r="L419" s="42"/>
      <c r="M419" s="42"/>
      <c r="Q419" s="42"/>
      <c r="R419" s="45"/>
      <c r="S419" s="45"/>
    </row>
    <row r="420">
      <c r="C420" s="42"/>
      <c r="D420" s="42"/>
      <c r="E420" s="42"/>
      <c r="K420" s="42"/>
      <c r="L420" s="42"/>
      <c r="M420" s="42"/>
      <c r="Q420" s="42"/>
      <c r="R420" s="45"/>
      <c r="S420" s="45"/>
    </row>
    <row r="421">
      <c r="C421" s="42"/>
      <c r="D421" s="42"/>
      <c r="E421" s="42"/>
      <c r="K421" s="42"/>
      <c r="L421" s="42"/>
      <c r="M421" s="42"/>
      <c r="Q421" s="42"/>
      <c r="R421" s="45"/>
      <c r="S421" s="45"/>
    </row>
    <row r="422">
      <c r="C422" s="42"/>
      <c r="D422" s="42"/>
      <c r="E422" s="42"/>
      <c r="K422" s="42"/>
      <c r="L422" s="42"/>
      <c r="M422" s="42"/>
      <c r="Q422" s="42"/>
      <c r="R422" s="45"/>
      <c r="S422" s="45"/>
    </row>
    <row r="423">
      <c r="C423" s="42"/>
      <c r="D423" s="42"/>
      <c r="E423" s="42"/>
      <c r="K423" s="42"/>
      <c r="L423" s="42"/>
      <c r="M423" s="42"/>
      <c r="Q423" s="42"/>
      <c r="R423" s="45"/>
      <c r="S423" s="45"/>
    </row>
    <row r="424">
      <c r="C424" s="42"/>
      <c r="D424" s="42"/>
      <c r="E424" s="42"/>
      <c r="K424" s="42"/>
      <c r="L424" s="42"/>
      <c r="M424" s="42"/>
      <c r="Q424" s="42"/>
      <c r="R424" s="45"/>
      <c r="S424" s="45"/>
    </row>
    <row r="425">
      <c r="C425" s="42"/>
      <c r="D425" s="42"/>
      <c r="E425" s="42"/>
      <c r="K425" s="42"/>
      <c r="L425" s="42"/>
      <c r="M425" s="42"/>
      <c r="Q425" s="42"/>
      <c r="R425" s="45"/>
      <c r="S425" s="45"/>
    </row>
    <row r="426">
      <c r="C426" s="42"/>
      <c r="D426" s="42"/>
      <c r="E426" s="42"/>
      <c r="K426" s="42"/>
      <c r="L426" s="42"/>
      <c r="M426" s="42"/>
      <c r="Q426" s="42"/>
      <c r="R426" s="45"/>
      <c r="S426" s="45"/>
    </row>
    <row r="427">
      <c r="C427" s="42"/>
      <c r="D427" s="42"/>
      <c r="E427" s="42"/>
      <c r="K427" s="42"/>
      <c r="L427" s="42"/>
      <c r="M427" s="42"/>
      <c r="Q427" s="42"/>
      <c r="R427" s="45"/>
      <c r="S427" s="45"/>
    </row>
    <row r="428">
      <c r="C428" s="42"/>
      <c r="D428" s="42"/>
      <c r="E428" s="42"/>
      <c r="K428" s="42"/>
      <c r="L428" s="42"/>
      <c r="M428" s="42"/>
      <c r="Q428" s="42"/>
      <c r="R428" s="45"/>
      <c r="S428" s="45"/>
    </row>
    <row r="429">
      <c r="C429" s="42"/>
      <c r="D429" s="42"/>
      <c r="E429" s="42"/>
      <c r="K429" s="42"/>
      <c r="L429" s="42"/>
      <c r="M429" s="42"/>
      <c r="Q429" s="42"/>
      <c r="R429" s="45"/>
      <c r="S429" s="45"/>
    </row>
    <row r="430">
      <c r="C430" s="42"/>
      <c r="D430" s="42"/>
      <c r="E430" s="42"/>
      <c r="K430" s="42"/>
      <c r="L430" s="42"/>
      <c r="M430" s="42"/>
      <c r="Q430" s="42"/>
      <c r="R430" s="45"/>
      <c r="S430" s="45"/>
    </row>
    <row r="431">
      <c r="C431" s="42"/>
      <c r="D431" s="42"/>
      <c r="E431" s="42"/>
      <c r="K431" s="42"/>
      <c r="L431" s="42"/>
      <c r="M431" s="42"/>
      <c r="Q431" s="42"/>
      <c r="R431" s="45"/>
      <c r="S431" s="45"/>
    </row>
    <row r="432">
      <c r="C432" s="42"/>
      <c r="D432" s="42"/>
      <c r="E432" s="42"/>
      <c r="K432" s="42"/>
      <c r="L432" s="42"/>
      <c r="M432" s="42"/>
      <c r="Q432" s="42"/>
      <c r="R432" s="45"/>
      <c r="S432" s="45"/>
    </row>
    <row r="433">
      <c r="C433" s="42"/>
      <c r="D433" s="42"/>
      <c r="E433" s="42"/>
      <c r="K433" s="42"/>
      <c r="L433" s="42"/>
      <c r="M433" s="42"/>
      <c r="Q433" s="42"/>
      <c r="R433" s="45"/>
      <c r="S433" s="45"/>
    </row>
    <row r="434">
      <c r="C434" s="42"/>
      <c r="D434" s="42"/>
      <c r="E434" s="42"/>
      <c r="K434" s="42"/>
      <c r="L434" s="42"/>
      <c r="M434" s="42"/>
      <c r="Q434" s="42"/>
      <c r="R434" s="45"/>
      <c r="S434" s="45"/>
    </row>
    <row r="435">
      <c r="C435" s="42"/>
      <c r="D435" s="42"/>
      <c r="E435" s="42"/>
      <c r="K435" s="42"/>
      <c r="L435" s="42"/>
      <c r="M435" s="42"/>
      <c r="Q435" s="42"/>
      <c r="R435" s="45"/>
      <c r="S435" s="45"/>
    </row>
    <row r="436">
      <c r="C436" s="42"/>
      <c r="D436" s="42"/>
      <c r="E436" s="42"/>
      <c r="K436" s="42"/>
      <c r="L436" s="42"/>
      <c r="M436" s="42"/>
      <c r="Q436" s="42"/>
      <c r="R436" s="45"/>
      <c r="S436" s="45"/>
    </row>
    <row r="437">
      <c r="C437" s="42"/>
      <c r="D437" s="42"/>
      <c r="E437" s="42"/>
      <c r="K437" s="42"/>
      <c r="L437" s="42"/>
      <c r="M437" s="42"/>
      <c r="Q437" s="42"/>
      <c r="R437" s="45"/>
      <c r="S437" s="45"/>
    </row>
    <row r="438">
      <c r="C438" s="42"/>
      <c r="D438" s="42"/>
      <c r="E438" s="42"/>
      <c r="K438" s="42"/>
      <c r="L438" s="42"/>
      <c r="M438" s="42"/>
      <c r="Q438" s="42"/>
      <c r="R438" s="45"/>
      <c r="S438" s="45"/>
    </row>
    <row r="439">
      <c r="C439" s="42"/>
      <c r="D439" s="42"/>
      <c r="E439" s="42"/>
      <c r="K439" s="42"/>
      <c r="L439" s="42"/>
      <c r="M439" s="42"/>
      <c r="Q439" s="42"/>
      <c r="R439" s="45"/>
      <c r="S439" s="45"/>
    </row>
    <row r="440">
      <c r="C440" s="42"/>
      <c r="D440" s="42"/>
      <c r="E440" s="42"/>
      <c r="K440" s="42"/>
      <c r="L440" s="42"/>
      <c r="M440" s="42"/>
      <c r="Q440" s="42"/>
      <c r="R440" s="45"/>
      <c r="S440" s="45"/>
    </row>
    <row r="441">
      <c r="C441" s="42"/>
      <c r="D441" s="42"/>
      <c r="E441" s="42"/>
      <c r="K441" s="42"/>
      <c r="L441" s="42"/>
      <c r="M441" s="42"/>
      <c r="Q441" s="42"/>
      <c r="R441" s="45"/>
      <c r="S441" s="45"/>
    </row>
    <row r="442">
      <c r="C442" s="42"/>
      <c r="D442" s="42"/>
      <c r="E442" s="42"/>
      <c r="K442" s="42"/>
      <c r="L442" s="42"/>
      <c r="M442" s="42"/>
      <c r="Q442" s="42"/>
      <c r="R442" s="45"/>
      <c r="S442" s="45"/>
    </row>
    <row r="443">
      <c r="C443" s="42"/>
      <c r="D443" s="42"/>
      <c r="E443" s="42"/>
      <c r="K443" s="42"/>
      <c r="L443" s="42"/>
      <c r="M443" s="42"/>
      <c r="Q443" s="42"/>
      <c r="R443" s="45"/>
      <c r="S443" s="45"/>
    </row>
    <row r="444">
      <c r="C444" s="42"/>
      <c r="D444" s="42"/>
      <c r="E444" s="42"/>
      <c r="K444" s="42"/>
      <c r="L444" s="42"/>
      <c r="M444" s="42"/>
      <c r="Q444" s="42"/>
      <c r="R444" s="45"/>
      <c r="S444" s="45"/>
    </row>
    <row r="445">
      <c r="C445" s="42"/>
      <c r="D445" s="42"/>
      <c r="E445" s="42"/>
      <c r="K445" s="42"/>
      <c r="L445" s="42"/>
      <c r="M445" s="42"/>
      <c r="Q445" s="42"/>
      <c r="R445" s="45"/>
      <c r="S445" s="45"/>
    </row>
    <row r="446">
      <c r="C446" s="42"/>
      <c r="D446" s="42"/>
      <c r="E446" s="42"/>
      <c r="K446" s="42"/>
      <c r="L446" s="42"/>
      <c r="M446" s="42"/>
      <c r="Q446" s="42"/>
      <c r="R446" s="45"/>
      <c r="S446" s="45"/>
    </row>
    <row r="447">
      <c r="C447" s="42"/>
      <c r="D447" s="42"/>
      <c r="E447" s="42"/>
      <c r="K447" s="42"/>
      <c r="L447" s="42"/>
      <c r="M447" s="42"/>
      <c r="Q447" s="42"/>
      <c r="R447" s="45"/>
      <c r="S447" s="45"/>
    </row>
    <row r="448">
      <c r="C448" s="42"/>
      <c r="D448" s="42"/>
      <c r="E448" s="42"/>
      <c r="K448" s="42"/>
      <c r="L448" s="42"/>
      <c r="M448" s="42"/>
      <c r="Q448" s="42"/>
      <c r="R448" s="45"/>
      <c r="S448" s="45"/>
    </row>
    <row r="449">
      <c r="C449" s="42"/>
      <c r="D449" s="42"/>
      <c r="E449" s="42"/>
      <c r="K449" s="42"/>
      <c r="L449" s="42"/>
      <c r="M449" s="42"/>
      <c r="Q449" s="42"/>
      <c r="R449" s="45"/>
      <c r="S449" s="45"/>
    </row>
    <row r="450">
      <c r="C450" s="42"/>
      <c r="D450" s="42"/>
      <c r="E450" s="42"/>
      <c r="K450" s="42"/>
      <c r="L450" s="42"/>
      <c r="M450" s="42"/>
      <c r="Q450" s="42"/>
      <c r="R450" s="45"/>
      <c r="S450" s="45"/>
    </row>
    <row r="451">
      <c r="C451" s="42"/>
      <c r="D451" s="42"/>
      <c r="E451" s="42"/>
      <c r="K451" s="42"/>
      <c r="L451" s="42"/>
      <c r="M451" s="42"/>
      <c r="Q451" s="42"/>
      <c r="R451" s="45"/>
      <c r="S451" s="45"/>
    </row>
    <row r="452">
      <c r="C452" s="42"/>
      <c r="D452" s="42"/>
      <c r="E452" s="42"/>
      <c r="K452" s="42"/>
      <c r="L452" s="42"/>
      <c r="M452" s="42"/>
      <c r="Q452" s="42"/>
      <c r="R452" s="45"/>
      <c r="S452" s="45"/>
    </row>
    <row r="453">
      <c r="C453" s="42"/>
      <c r="D453" s="42"/>
      <c r="E453" s="42"/>
      <c r="K453" s="42"/>
      <c r="L453" s="42"/>
      <c r="M453" s="42"/>
      <c r="Q453" s="42"/>
      <c r="R453" s="45"/>
      <c r="S453" s="45"/>
    </row>
    <row r="454">
      <c r="C454" s="42"/>
      <c r="D454" s="42"/>
      <c r="E454" s="42"/>
      <c r="K454" s="42"/>
      <c r="L454" s="42"/>
      <c r="M454" s="42"/>
      <c r="Q454" s="42"/>
      <c r="R454" s="45"/>
      <c r="S454" s="45"/>
    </row>
    <row r="455">
      <c r="C455" s="42"/>
      <c r="D455" s="42"/>
      <c r="E455" s="42"/>
      <c r="K455" s="42"/>
      <c r="L455" s="42"/>
      <c r="M455" s="42"/>
      <c r="Q455" s="42"/>
      <c r="R455" s="45"/>
      <c r="S455" s="45"/>
    </row>
    <row r="456">
      <c r="C456" s="42"/>
      <c r="D456" s="42"/>
      <c r="E456" s="42"/>
      <c r="K456" s="42"/>
      <c r="L456" s="42"/>
      <c r="M456" s="42"/>
      <c r="Q456" s="42"/>
      <c r="R456" s="45"/>
      <c r="S456" s="45"/>
    </row>
    <row r="457">
      <c r="C457" s="42"/>
      <c r="D457" s="42"/>
      <c r="E457" s="42"/>
      <c r="K457" s="42"/>
      <c r="L457" s="42"/>
      <c r="M457" s="42"/>
      <c r="Q457" s="42"/>
      <c r="R457" s="45"/>
      <c r="S457" s="45"/>
    </row>
    <row r="458">
      <c r="C458" s="42"/>
      <c r="D458" s="42"/>
      <c r="E458" s="42"/>
      <c r="K458" s="42"/>
      <c r="L458" s="42"/>
      <c r="M458" s="42"/>
      <c r="Q458" s="42"/>
      <c r="R458" s="45"/>
      <c r="S458" s="45"/>
    </row>
    <row r="459">
      <c r="C459" s="42"/>
      <c r="D459" s="42"/>
      <c r="E459" s="42"/>
      <c r="K459" s="42"/>
      <c r="L459" s="42"/>
      <c r="M459" s="42"/>
      <c r="Q459" s="42"/>
      <c r="R459" s="45"/>
      <c r="S459" s="45"/>
    </row>
    <row r="460">
      <c r="C460" s="42"/>
      <c r="D460" s="42"/>
      <c r="E460" s="42"/>
      <c r="K460" s="42"/>
      <c r="L460" s="42"/>
      <c r="M460" s="42"/>
      <c r="Q460" s="42"/>
      <c r="R460" s="45"/>
      <c r="S460" s="45"/>
    </row>
    <row r="461">
      <c r="C461" s="42"/>
      <c r="D461" s="42"/>
      <c r="E461" s="42"/>
      <c r="K461" s="42"/>
      <c r="L461" s="42"/>
      <c r="M461" s="42"/>
      <c r="Q461" s="42"/>
      <c r="R461" s="45"/>
      <c r="S461" s="45"/>
    </row>
    <row r="462">
      <c r="C462" s="42"/>
      <c r="D462" s="42"/>
      <c r="E462" s="42"/>
      <c r="K462" s="42"/>
      <c r="L462" s="42"/>
      <c r="M462" s="42"/>
      <c r="Q462" s="42"/>
      <c r="R462" s="45"/>
      <c r="S462" s="45"/>
    </row>
    <row r="463">
      <c r="C463" s="42"/>
      <c r="D463" s="42"/>
      <c r="E463" s="42"/>
      <c r="K463" s="42"/>
      <c r="L463" s="42"/>
      <c r="M463" s="42"/>
      <c r="Q463" s="42"/>
      <c r="R463" s="45"/>
      <c r="S463" s="45"/>
    </row>
    <row r="464">
      <c r="C464" s="42"/>
      <c r="D464" s="42"/>
      <c r="E464" s="42"/>
      <c r="K464" s="42"/>
      <c r="L464" s="42"/>
      <c r="M464" s="42"/>
      <c r="Q464" s="42"/>
      <c r="R464" s="45"/>
      <c r="S464" s="45"/>
    </row>
    <row r="465">
      <c r="C465" s="42"/>
      <c r="D465" s="42"/>
      <c r="E465" s="42"/>
      <c r="K465" s="42"/>
      <c r="L465" s="42"/>
      <c r="M465" s="42"/>
      <c r="Q465" s="42"/>
      <c r="R465" s="45"/>
      <c r="S465" s="45"/>
    </row>
    <row r="466">
      <c r="C466" s="42"/>
      <c r="D466" s="42"/>
      <c r="E466" s="42"/>
      <c r="K466" s="42"/>
      <c r="L466" s="42"/>
      <c r="M466" s="42"/>
      <c r="Q466" s="42"/>
      <c r="R466" s="45"/>
      <c r="S466" s="45"/>
    </row>
    <row r="467">
      <c r="C467" s="42"/>
      <c r="D467" s="42"/>
      <c r="E467" s="42"/>
      <c r="K467" s="42"/>
      <c r="L467" s="42"/>
      <c r="M467" s="42"/>
      <c r="Q467" s="42"/>
      <c r="R467" s="45"/>
      <c r="S467" s="45"/>
    </row>
    <row r="468">
      <c r="C468" s="42"/>
      <c r="D468" s="42"/>
      <c r="E468" s="42"/>
      <c r="K468" s="42"/>
      <c r="L468" s="42"/>
      <c r="M468" s="42"/>
      <c r="Q468" s="42"/>
      <c r="R468" s="45"/>
      <c r="S468" s="45"/>
    </row>
    <row r="469">
      <c r="C469" s="42"/>
      <c r="D469" s="42"/>
      <c r="E469" s="42"/>
      <c r="K469" s="42"/>
      <c r="L469" s="42"/>
      <c r="M469" s="42"/>
      <c r="Q469" s="42"/>
      <c r="R469" s="45"/>
      <c r="S469" s="45"/>
    </row>
    <row r="470">
      <c r="C470" s="42"/>
      <c r="D470" s="42"/>
      <c r="E470" s="42"/>
      <c r="K470" s="42"/>
      <c r="L470" s="42"/>
      <c r="M470" s="42"/>
      <c r="Q470" s="42"/>
      <c r="R470" s="45"/>
      <c r="S470" s="45"/>
    </row>
    <row r="471">
      <c r="C471" s="42"/>
      <c r="D471" s="42"/>
      <c r="E471" s="42"/>
      <c r="K471" s="42"/>
      <c r="L471" s="42"/>
      <c r="M471" s="42"/>
      <c r="Q471" s="42"/>
      <c r="R471" s="45"/>
      <c r="S471" s="45"/>
    </row>
    <row r="472">
      <c r="C472" s="42"/>
      <c r="D472" s="42"/>
      <c r="E472" s="42"/>
      <c r="K472" s="42"/>
      <c r="L472" s="42"/>
      <c r="M472" s="42"/>
      <c r="Q472" s="42"/>
      <c r="R472" s="45"/>
      <c r="S472" s="45"/>
    </row>
    <row r="473">
      <c r="C473" s="42"/>
      <c r="D473" s="42"/>
      <c r="E473" s="42"/>
      <c r="K473" s="42"/>
      <c r="L473" s="42"/>
      <c r="M473" s="42"/>
      <c r="Q473" s="42"/>
      <c r="R473" s="45"/>
      <c r="S473" s="45"/>
    </row>
    <row r="474">
      <c r="C474" s="42"/>
      <c r="D474" s="42"/>
      <c r="E474" s="42"/>
      <c r="K474" s="42"/>
      <c r="L474" s="42"/>
      <c r="M474" s="42"/>
      <c r="Q474" s="42"/>
      <c r="R474" s="45"/>
      <c r="S474" s="45"/>
    </row>
    <row r="475">
      <c r="C475" s="42"/>
      <c r="D475" s="42"/>
      <c r="E475" s="42"/>
      <c r="K475" s="42"/>
      <c r="L475" s="42"/>
      <c r="M475" s="42"/>
      <c r="Q475" s="42"/>
      <c r="R475" s="45"/>
      <c r="S475" s="45"/>
    </row>
    <row r="476">
      <c r="C476" s="42"/>
      <c r="D476" s="42"/>
      <c r="E476" s="42"/>
      <c r="K476" s="42"/>
      <c r="L476" s="42"/>
      <c r="M476" s="42"/>
      <c r="Q476" s="42"/>
      <c r="R476" s="45"/>
      <c r="S476" s="45"/>
    </row>
    <row r="477">
      <c r="C477" s="42"/>
      <c r="D477" s="42"/>
      <c r="E477" s="42"/>
      <c r="K477" s="42"/>
      <c r="L477" s="42"/>
      <c r="M477" s="42"/>
      <c r="Q477" s="42"/>
      <c r="R477" s="45"/>
      <c r="S477" s="45"/>
    </row>
    <row r="478">
      <c r="C478" s="42"/>
      <c r="D478" s="42"/>
      <c r="E478" s="42"/>
      <c r="K478" s="42"/>
      <c r="L478" s="42"/>
      <c r="M478" s="42"/>
      <c r="Q478" s="42"/>
      <c r="R478" s="45"/>
      <c r="S478" s="45"/>
    </row>
    <row r="479">
      <c r="C479" s="42"/>
      <c r="D479" s="42"/>
      <c r="E479" s="42"/>
      <c r="K479" s="42"/>
      <c r="L479" s="42"/>
      <c r="M479" s="42"/>
      <c r="Q479" s="42"/>
      <c r="R479" s="45"/>
      <c r="S479" s="45"/>
    </row>
    <row r="480">
      <c r="C480" s="42"/>
      <c r="D480" s="42"/>
      <c r="E480" s="42"/>
      <c r="K480" s="42"/>
      <c r="L480" s="42"/>
      <c r="M480" s="42"/>
      <c r="Q480" s="42"/>
      <c r="R480" s="45"/>
      <c r="S480" s="45"/>
    </row>
    <row r="481">
      <c r="C481" s="42"/>
      <c r="D481" s="42"/>
      <c r="E481" s="42"/>
      <c r="K481" s="42"/>
      <c r="L481" s="42"/>
      <c r="M481" s="42"/>
      <c r="Q481" s="42"/>
      <c r="R481" s="45"/>
      <c r="S481" s="45"/>
    </row>
    <row r="482">
      <c r="C482" s="42"/>
      <c r="D482" s="42"/>
      <c r="E482" s="42"/>
      <c r="K482" s="42"/>
      <c r="L482" s="42"/>
      <c r="M482" s="42"/>
      <c r="Q482" s="42"/>
      <c r="R482" s="45"/>
      <c r="S482" s="45"/>
    </row>
    <row r="483">
      <c r="C483" s="42"/>
      <c r="D483" s="42"/>
      <c r="E483" s="42"/>
      <c r="K483" s="42"/>
      <c r="L483" s="42"/>
      <c r="M483" s="42"/>
      <c r="Q483" s="42"/>
      <c r="R483" s="45"/>
      <c r="S483" s="45"/>
    </row>
    <row r="484">
      <c r="C484" s="42"/>
      <c r="D484" s="42"/>
      <c r="E484" s="42"/>
      <c r="K484" s="42"/>
      <c r="L484" s="42"/>
      <c r="M484" s="42"/>
      <c r="Q484" s="42"/>
      <c r="R484" s="45"/>
      <c r="S484" s="45"/>
    </row>
    <row r="485">
      <c r="C485" s="42"/>
      <c r="D485" s="42"/>
      <c r="E485" s="42"/>
      <c r="K485" s="42"/>
      <c r="L485" s="42"/>
      <c r="M485" s="42"/>
      <c r="Q485" s="42"/>
      <c r="R485" s="45"/>
      <c r="S485" s="45"/>
    </row>
    <row r="486">
      <c r="C486" s="42"/>
      <c r="D486" s="42"/>
      <c r="E486" s="42"/>
      <c r="K486" s="42"/>
      <c r="L486" s="42"/>
      <c r="M486" s="42"/>
      <c r="Q486" s="42"/>
      <c r="R486" s="45"/>
      <c r="S486" s="45"/>
    </row>
    <row r="487">
      <c r="C487" s="42"/>
      <c r="D487" s="42"/>
      <c r="E487" s="42"/>
      <c r="K487" s="42"/>
      <c r="L487" s="42"/>
      <c r="M487" s="42"/>
      <c r="Q487" s="42"/>
      <c r="R487" s="45"/>
      <c r="S487" s="45"/>
    </row>
    <row r="488">
      <c r="C488" s="42"/>
      <c r="D488" s="42"/>
      <c r="E488" s="42"/>
      <c r="K488" s="42"/>
      <c r="L488" s="42"/>
      <c r="M488" s="42"/>
      <c r="Q488" s="42"/>
      <c r="R488" s="45"/>
      <c r="S488" s="45"/>
    </row>
    <row r="489">
      <c r="C489" s="42"/>
      <c r="D489" s="42"/>
      <c r="E489" s="42"/>
      <c r="K489" s="42"/>
      <c r="L489" s="42"/>
      <c r="M489" s="42"/>
      <c r="Q489" s="42"/>
      <c r="R489" s="45"/>
      <c r="S489" s="45"/>
    </row>
    <row r="490">
      <c r="C490" s="42"/>
      <c r="D490" s="42"/>
      <c r="E490" s="42"/>
      <c r="K490" s="42"/>
      <c r="L490" s="42"/>
      <c r="M490" s="42"/>
      <c r="Q490" s="42"/>
      <c r="R490" s="45"/>
      <c r="S490" s="45"/>
    </row>
    <row r="491">
      <c r="C491" s="42"/>
      <c r="D491" s="42"/>
      <c r="E491" s="42"/>
      <c r="K491" s="42"/>
      <c r="L491" s="42"/>
      <c r="M491" s="42"/>
      <c r="Q491" s="42"/>
      <c r="R491" s="45"/>
      <c r="S491" s="45"/>
    </row>
    <row r="492">
      <c r="C492" s="42"/>
      <c r="D492" s="42"/>
      <c r="E492" s="42"/>
      <c r="K492" s="42"/>
      <c r="L492" s="42"/>
      <c r="M492" s="42"/>
      <c r="Q492" s="42"/>
      <c r="R492" s="45"/>
      <c r="S492" s="45"/>
    </row>
    <row r="493">
      <c r="C493" s="42"/>
      <c r="D493" s="42"/>
      <c r="E493" s="42"/>
      <c r="K493" s="42"/>
      <c r="L493" s="42"/>
      <c r="M493" s="42"/>
      <c r="Q493" s="42"/>
      <c r="R493" s="45"/>
      <c r="S493" s="45"/>
    </row>
    <row r="494">
      <c r="C494" s="42"/>
      <c r="D494" s="42"/>
      <c r="E494" s="42"/>
      <c r="K494" s="42"/>
      <c r="L494" s="42"/>
      <c r="M494" s="42"/>
      <c r="Q494" s="42"/>
      <c r="R494" s="45"/>
      <c r="S494" s="45"/>
    </row>
    <row r="495">
      <c r="C495" s="42"/>
      <c r="D495" s="42"/>
      <c r="E495" s="42"/>
      <c r="K495" s="42"/>
      <c r="L495" s="42"/>
      <c r="M495" s="42"/>
      <c r="Q495" s="42"/>
      <c r="R495" s="45"/>
      <c r="S495" s="45"/>
    </row>
    <row r="496">
      <c r="C496" s="42"/>
      <c r="D496" s="42"/>
      <c r="E496" s="42"/>
      <c r="K496" s="42"/>
      <c r="L496" s="42"/>
      <c r="M496" s="42"/>
      <c r="Q496" s="42"/>
      <c r="R496" s="45"/>
      <c r="S496" s="45"/>
    </row>
    <row r="497">
      <c r="C497" s="42"/>
      <c r="D497" s="42"/>
      <c r="E497" s="42"/>
      <c r="K497" s="42"/>
      <c r="L497" s="42"/>
      <c r="M497" s="42"/>
      <c r="Q497" s="42"/>
      <c r="R497" s="45"/>
      <c r="S497" s="45"/>
    </row>
    <row r="498">
      <c r="C498" s="42"/>
      <c r="D498" s="42"/>
      <c r="E498" s="42"/>
      <c r="K498" s="42"/>
      <c r="L498" s="42"/>
      <c r="M498" s="42"/>
      <c r="Q498" s="42"/>
      <c r="R498" s="45"/>
      <c r="S498" s="45"/>
    </row>
    <row r="499">
      <c r="C499" s="42"/>
      <c r="D499" s="42"/>
      <c r="E499" s="42"/>
      <c r="K499" s="42"/>
      <c r="L499" s="42"/>
      <c r="M499" s="42"/>
      <c r="Q499" s="42"/>
      <c r="R499" s="45"/>
      <c r="S499" s="45"/>
    </row>
    <row r="500">
      <c r="C500" s="42"/>
      <c r="D500" s="42"/>
      <c r="E500" s="42"/>
      <c r="K500" s="42"/>
      <c r="L500" s="42"/>
      <c r="M500" s="42"/>
      <c r="Q500" s="42"/>
      <c r="R500" s="45"/>
      <c r="S500" s="45"/>
    </row>
    <row r="501">
      <c r="C501" s="42"/>
      <c r="D501" s="42"/>
      <c r="E501" s="42"/>
      <c r="K501" s="42"/>
      <c r="L501" s="42"/>
      <c r="M501" s="42"/>
      <c r="Q501" s="42"/>
      <c r="R501" s="45"/>
      <c r="S501" s="45"/>
    </row>
    <row r="502">
      <c r="C502" s="42"/>
      <c r="D502" s="42"/>
      <c r="E502" s="42"/>
      <c r="K502" s="42"/>
      <c r="L502" s="42"/>
      <c r="M502" s="42"/>
      <c r="Q502" s="42"/>
      <c r="R502" s="45"/>
      <c r="S502" s="45"/>
    </row>
    <row r="503">
      <c r="C503" s="42"/>
      <c r="D503" s="42"/>
      <c r="E503" s="42"/>
      <c r="K503" s="42"/>
      <c r="L503" s="42"/>
      <c r="M503" s="42"/>
      <c r="Q503" s="42"/>
      <c r="R503" s="45"/>
      <c r="S503" s="45"/>
    </row>
    <row r="504">
      <c r="C504" s="42"/>
      <c r="D504" s="42"/>
      <c r="E504" s="42"/>
      <c r="K504" s="42"/>
      <c r="L504" s="42"/>
      <c r="M504" s="42"/>
      <c r="Q504" s="42"/>
      <c r="R504" s="45"/>
      <c r="S504" s="45"/>
    </row>
    <row r="505">
      <c r="C505" s="42"/>
      <c r="D505" s="42"/>
      <c r="E505" s="42"/>
      <c r="K505" s="42"/>
      <c r="L505" s="42"/>
      <c r="M505" s="42"/>
      <c r="Q505" s="42"/>
      <c r="R505" s="45"/>
      <c r="S505" s="45"/>
    </row>
    <row r="506">
      <c r="C506" s="42"/>
      <c r="D506" s="42"/>
      <c r="E506" s="42"/>
      <c r="K506" s="42"/>
      <c r="L506" s="42"/>
      <c r="M506" s="42"/>
      <c r="Q506" s="42"/>
      <c r="R506" s="45"/>
      <c r="S506" s="45"/>
    </row>
    <row r="507">
      <c r="C507" s="42"/>
      <c r="D507" s="42"/>
      <c r="E507" s="42"/>
      <c r="K507" s="42"/>
      <c r="L507" s="42"/>
      <c r="M507" s="42"/>
      <c r="Q507" s="42"/>
      <c r="R507" s="45"/>
      <c r="S507" s="45"/>
    </row>
    <row r="508">
      <c r="C508" s="42"/>
      <c r="D508" s="42"/>
      <c r="E508" s="42"/>
      <c r="K508" s="42"/>
      <c r="L508" s="42"/>
      <c r="M508" s="42"/>
      <c r="Q508" s="42"/>
      <c r="R508" s="45"/>
      <c r="S508" s="45"/>
    </row>
    <row r="509">
      <c r="C509" s="42"/>
      <c r="D509" s="42"/>
      <c r="E509" s="42"/>
      <c r="K509" s="42"/>
      <c r="L509" s="42"/>
      <c r="M509" s="42"/>
      <c r="Q509" s="42"/>
      <c r="R509" s="45"/>
      <c r="S509" s="45"/>
    </row>
    <row r="510">
      <c r="C510" s="42"/>
      <c r="D510" s="42"/>
      <c r="E510" s="42"/>
      <c r="K510" s="42"/>
      <c r="L510" s="42"/>
      <c r="M510" s="42"/>
      <c r="Q510" s="42"/>
      <c r="R510" s="45"/>
      <c r="S510" s="45"/>
    </row>
    <row r="511">
      <c r="C511" s="42"/>
      <c r="D511" s="42"/>
      <c r="E511" s="42"/>
      <c r="K511" s="42"/>
      <c r="L511" s="42"/>
      <c r="M511" s="42"/>
      <c r="Q511" s="42"/>
      <c r="R511" s="45"/>
      <c r="S511" s="45"/>
    </row>
    <row r="512">
      <c r="C512" s="42"/>
      <c r="D512" s="42"/>
      <c r="E512" s="42"/>
      <c r="K512" s="42"/>
      <c r="L512" s="42"/>
      <c r="M512" s="42"/>
      <c r="Q512" s="42"/>
      <c r="R512" s="45"/>
      <c r="S512" s="45"/>
    </row>
    <row r="513">
      <c r="C513" s="42"/>
      <c r="D513" s="42"/>
      <c r="E513" s="42"/>
      <c r="K513" s="42"/>
      <c r="L513" s="42"/>
      <c r="M513" s="42"/>
      <c r="Q513" s="42"/>
      <c r="R513" s="45"/>
      <c r="S513" s="45"/>
    </row>
    <row r="514">
      <c r="C514" s="42"/>
      <c r="D514" s="42"/>
      <c r="E514" s="42"/>
      <c r="K514" s="42"/>
      <c r="L514" s="42"/>
      <c r="M514" s="42"/>
      <c r="Q514" s="42"/>
      <c r="R514" s="45"/>
      <c r="S514" s="45"/>
    </row>
    <row r="515">
      <c r="C515" s="42"/>
      <c r="D515" s="42"/>
      <c r="E515" s="42"/>
      <c r="K515" s="42"/>
      <c r="L515" s="42"/>
      <c r="M515" s="42"/>
      <c r="Q515" s="42"/>
      <c r="R515" s="45"/>
      <c r="S515" s="45"/>
    </row>
    <row r="516">
      <c r="C516" s="42"/>
      <c r="D516" s="42"/>
      <c r="E516" s="42"/>
      <c r="K516" s="42"/>
      <c r="L516" s="42"/>
      <c r="M516" s="42"/>
      <c r="Q516" s="42"/>
      <c r="R516" s="45"/>
      <c r="S516" s="45"/>
    </row>
    <row r="517">
      <c r="C517" s="42"/>
      <c r="D517" s="42"/>
      <c r="E517" s="42"/>
      <c r="K517" s="42"/>
      <c r="L517" s="42"/>
      <c r="M517" s="42"/>
      <c r="Q517" s="42"/>
      <c r="R517" s="45"/>
      <c r="S517" s="45"/>
    </row>
    <row r="518">
      <c r="C518" s="42"/>
      <c r="D518" s="42"/>
      <c r="E518" s="42"/>
      <c r="K518" s="42"/>
      <c r="L518" s="42"/>
      <c r="M518" s="42"/>
      <c r="Q518" s="42"/>
      <c r="R518" s="45"/>
      <c r="S518" s="45"/>
    </row>
    <row r="519">
      <c r="C519" s="42"/>
      <c r="D519" s="42"/>
      <c r="E519" s="42"/>
      <c r="K519" s="42"/>
      <c r="L519" s="42"/>
      <c r="M519" s="42"/>
      <c r="Q519" s="42"/>
      <c r="R519" s="45"/>
      <c r="S519" s="45"/>
    </row>
    <row r="520">
      <c r="C520" s="42"/>
      <c r="D520" s="42"/>
      <c r="E520" s="42"/>
      <c r="K520" s="42"/>
      <c r="L520" s="42"/>
      <c r="M520" s="42"/>
      <c r="Q520" s="42"/>
      <c r="R520" s="45"/>
      <c r="S520" s="45"/>
    </row>
    <row r="521">
      <c r="C521" s="42"/>
      <c r="D521" s="42"/>
      <c r="E521" s="42"/>
      <c r="K521" s="42"/>
      <c r="L521" s="42"/>
      <c r="M521" s="42"/>
      <c r="Q521" s="42"/>
      <c r="R521" s="45"/>
      <c r="S521" s="45"/>
    </row>
    <row r="522">
      <c r="C522" s="42"/>
      <c r="D522" s="42"/>
      <c r="E522" s="42"/>
      <c r="K522" s="42"/>
      <c r="L522" s="42"/>
      <c r="M522" s="42"/>
      <c r="Q522" s="42"/>
      <c r="R522" s="45"/>
      <c r="S522" s="45"/>
    </row>
    <row r="523">
      <c r="C523" s="42"/>
      <c r="D523" s="42"/>
      <c r="E523" s="42"/>
      <c r="K523" s="42"/>
      <c r="L523" s="42"/>
      <c r="M523" s="42"/>
      <c r="Q523" s="42"/>
      <c r="R523" s="45"/>
      <c r="S523" s="45"/>
    </row>
    <row r="524">
      <c r="C524" s="42"/>
      <c r="D524" s="42"/>
      <c r="E524" s="42"/>
      <c r="K524" s="42"/>
      <c r="L524" s="42"/>
      <c r="M524" s="42"/>
      <c r="Q524" s="42"/>
      <c r="R524" s="45"/>
      <c r="S524" s="45"/>
    </row>
    <row r="525">
      <c r="C525" s="42"/>
      <c r="D525" s="42"/>
      <c r="E525" s="42"/>
      <c r="K525" s="42"/>
      <c r="L525" s="42"/>
      <c r="M525" s="42"/>
      <c r="Q525" s="42"/>
      <c r="R525" s="45"/>
      <c r="S525" s="45"/>
    </row>
    <row r="526">
      <c r="C526" s="42"/>
      <c r="D526" s="42"/>
      <c r="E526" s="42"/>
      <c r="K526" s="42"/>
      <c r="L526" s="42"/>
      <c r="M526" s="42"/>
      <c r="Q526" s="42"/>
      <c r="R526" s="45"/>
      <c r="S526" s="45"/>
    </row>
    <row r="527">
      <c r="C527" s="42"/>
      <c r="D527" s="42"/>
      <c r="E527" s="42"/>
      <c r="K527" s="42"/>
      <c r="L527" s="42"/>
      <c r="M527" s="42"/>
      <c r="Q527" s="42"/>
      <c r="R527" s="45"/>
      <c r="S527" s="45"/>
    </row>
    <row r="528">
      <c r="C528" s="42"/>
      <c r="D528" s="42"/>
      <c r="E528" s="42"/>
      <c r="K528" s="42"/>
      <c r="L528" s="42"/>
      <c r="M528" s="42"/>
      <c r="Q528" s="42"/>
      <c r="R528" s="45"/>
      <c r="S528" s="45"/>
    </row>
    <row r="529">
      <c r="C529" s="42"/>
      <c r="D529" s="42"/>
      <c r="E529" s="42"/>
      <c r="K529" s="42"/>
      <c r="L529" s="42"/>
      <c r="M529" s="42"/>
      <c r="Q529" s="42"/>
      <c r="R529" s="45"/>
      <c r="S529" s="45"/>
    </row>
    <row r="530">
      <c r="C530" s="42"/>
      <c r="D530" s="42"/>
      <c r="E530" s="42"/>
      <c r="K530" s="42"/>
      <c r="L530" s="42"/>
      <c r="M530" s="42"/>
      <c r="Q530" s="42"/>
      <c r="R530" s="45"/>
      <c r="S530" s="45"/>
    </row>
    <row r="531">
      <c r="C531" s="42"/>
      <c r="D531" s="42"/>
      <c r="E531" s="42"/>
      <c r="K531" s="42"/>
      <c r="L531" s="42"/>
      <c r="M531" s="42"/>
      <c r="Q531" s="42"/>
      <c r="R531" s="45"/>
      <c r="S531" s="45"/>
    </row>
    <row r="532">
      <c r="C532" s="42"/>
      <c r="D532" s="42"/>
      <c r="E532" s="42"/>
      <c r="K532" s="42"/>
      <c r="L532" s="42"/>
      <c r="M532" s="42"/>
      <c r="Q532" s="42"/>
      <c r="R532" s="45"/>
      <c r="S532" s="45"/>
    </row>
    <row r="533">
      <c r="C533" s="42"/>
      <c r="D533" s="42"/>
      <c r="E533" s="42"/>
      <c r="K533" s="42"/>
      <c r="L533" s="42"/>
      <c r="M533" s="42"/>
      <c r="Q533" s="42"/>
      <c r="R533" s="45"/>
      <c r="S533" s="45"/>
    </row>
    <row r="534">
      <c r="C534" s="42"/>
      <c r="D534" s="42"/>
      <c r="E534" s="42"/>
      <c r="K534" s="42"/>
      <c r="L534" s="42"/>
      <c r="M534" s="42"/>
      <c r="Q534" s="42"/>
      <c r="R534" s="45"/>
      <c r="S534" s="45"/>
    </row>
    <row r="535">
      <c r="C535" s="42"/>
      <c r="D535" s="42"/>
      <c r="E535" s="42"/>
      <c r="K535" s="42"/>
      <c r="L535" s="42"/>
      <c r="M535" s="42"/>
      <c r="Q535" s="42"/>
      <c r="R535" s="45"/>
      <c r="S535" s="45"/>
    </row>
    <row r="536">
      <c r="C536" s="42"/>
      <c r="D536" s="42"/>
      <c r="E536" s="42"/>
      <c r="K536" s="42"/>
      <c r="L536" s="42"/>
      <c r="M536" s="42"/>
      <c r="Q536" s="42"/>
      <c r="R536" s="45"/>
      <c r="S536" s="45"/>
    </row>
    <row r="537">
      <c r="C537" s="42"/>
      <c r="D537" s="42"/>
      <c r="E537" s="42"/>
      <c r="K537" s="42"/>
      <c r="L537" s="42"/>
      <c r="M537" s="42"/>
      <c r="Q537" s="42"/>
      <c r="R537" s="45"/>
      <c r="S537" s="45"/>
    </row>
    <row r="538">
      <c r="C538" s="42"/>
      <c r="D538" s="42"/>
      <c r="E538" s="42"/>
      <c r="K538" s="42"/>
      <c r="L538" s="42"/>
      <c r="M538" s="42"/>
      <c r="Q538" s="42"/>
      <c r="R538" s="45"/>
      <c r="S538" s="45"/>
    </row>
    <row r="539">
      <c r="C539" s="42"/>
      <c r="D539" s="42"/>
      <c r="E539" s="42"/>
      <c r="K539" s="42"/>
      <c r="L539" s="42"/>
      <c r="M539" s="42"/>
      <c r="Q539" s="42"/>
      <c r="R539" s="45"/>
      <c r="S539" s="45"/>
    </row>
    <row r="540">
      <c r="C540" s="42"/>
      <c r="D540" s="42"/>
      <c r="E540" s="42"/>
      <c r="K540" s="42"/>
      <c r="L540" s="42"/>
      <c r="M540" s="42"/>
      <c r="Q540" s="42"/>
      <c r="R540" s="45"/>
      <c r="S540" s="45"/>
    </row>
    <row r="541">
      <c r="C541" s="42"/>
      <c r="D541" s="42"/>
      <c r="E541" s="42"/>
      <c r="K541" s="42"/>
      <c r="L541" s="42"/>
      <c r="M541" s="42"/>
      <c r="Q541" s="42"/>
      <c r="R541" s="45"/>
      <c r="S541" s="45"/>
    </row>
    <row r="542">
      <c r="C542" s="42"/>
      <c r="D542" s="42"/>
      <c r="E542" s="42"/>
      <c r="K542" s="42"/>
      <c r="L542" s="42"/>
      <c r="M542" s="42"/>
      <c r="Q542" s="42"/>
      <c r="R542" s="45"/>
      <c r="S542" s="45"/>
    </row>
    <row r="543">
      <c r="C543" s="42"/>
      <c r="D543" s="42"/>
      <c r="E543" s="42"/>
      <c r="K543" s="42"/>
      <c r="L543" s="42"/>
      <c r="M543" s="42"/>
      <c r="Q543" s="42"/>
      <c r="R543" s="45"/>
      <c r="S543" s="45"/>
    </row>
    <row r="544">
      <c r="C544" s="42"/>
      <c r="D544" s="42"/>
      <c r="E544" s="42"/>
      <c r="K544" s="42"/>
      <c r="L544" s="42"/>
      <c r="M544" s="42"/>
      <c r="Q544" s="42"/>
      <c r="R544" s="45"/>
      <c r="S544" s="45"/>
    </row>
    <row r="545">
      <c r="C545" s="42"/>
      <c r="D545" s="42"/>
      <c r="E545" s="42"/>
      <c r="K545" s="42"/>
      <c r="L545" s="42"/>
      <c r="M545" s="42"/>
      <c r="Q545" s="42"/>
      <c r="R545" s="45"/>
      <c r="S545" s="45"/>
    </row>
    <row r="546">
      <c r="C546" s="42"/>
      <c r="D546" s="42"/>
      <c r="E546" s="42"/>
      <c r="K546" s="42"/>
      <c r="L546" s="42"/>
      <c r="M546" s="42"/>
      <c r="Q546" s="42"/>
      <c r="R546" s="45"/>
      <c r="S546" s="45"/>
    </row>
    <row r="547">
      <c r="C547" s="42"/>
      <c r="D547" s="42"/>
      <c r="E547" s="42"/>
      <c r="K547" s="42"/>
      <c r="L547" s="42"/>
      <c r="M547" s="42"/>
      <c r="Q547" s="42"/>
      <c r="R547" s="45"/>
      <c r="S547" s="45"/>
    </row>
    <row r="548">
      <c r="C548" s="42"/>
      <c r="D548" s="42"/>
      <c r="E548" s="42"/>
      <c r="K548" s="42"/>
      <c r="L548" s="42"/>
      <c r="M548" s="42"/>
      <c r="Q548" s="42"/>
      <c r="R548" s="45"/>
      <c r="S548" s="45"/>
    </row>
    <row r="549">
      <c r="C549" s="42"/>
      <c r="D549" s="42"/>
      <c r="E549" s="42"/>
      <c r="K549" s="42"/>
      <c r="L549" s="42"/>
      <c r="M549" s="42"/>
      <c r="Q549" s="42"/>
      <c r="R549" s="45"/>
      <c r="S549" s="45"/>
    </row>
    <row r="550">
      <c r="C550" s="42"/>
      <c r="D550" s="42"/>
      <c r="E550" s="42"/>
      <c r="K550" s="42"/>
      <c r="L550" s="42"/>
      <c r="M550" s="42"/>
      <c r="Q550" s="42"/>
      <c r="R550" s="45"/>
      <c r="S550" s="45"/>
    </row>
    <row r="551">
      <c r="C551" s="42"/>
      <c r="D551" s="42"/>
      <c r="E551" s="42"/>
      <c r="K551" s="42"/>
      <c r="L551" s="42"/>
      <c r="M551" s="42"/>
      <c r="Q551" s="42"/>
      <c r="R551" s="45"/>
      <c r="S551" s="45"/>
    </row>
    <row r="552">
      <c r="C552" s="42"/>
      <c r="D552" s="42"/>
      <c r="E552" s="42"/>
      <c r="K552" s="42"/>
      <c r="L552" s="42"/>
      <c r="M552" s="42"/>
      <c r="Q552" s="42"/>
      <c r="R552" s="45"/>
      <c r="S552" s="45"/>
    </row>
    <row r="553">
      <c r="C553" s="42"/>
      <c r="D553" s="42"/>
      <c r="E553" s="42"/>
      <c r="K553" s="42"/>
      <c r="L553" s="42"/>
      <c r="M553" s="42"/>
      <c r="Q553" s="42"/>
      <c r="R553" s="45"/>
      <c r="S553" s="45"/>
    </row>
    <row r="554">
      <c r="C554" s="42"/>
      <c r="D554" s="42"/>
      <c r="E554" s="42"/>
      <c r="K554" s="42"/>
      <c r="L554" s="42"/>
      <c r="M554" s="42"/>
      <c r="Q554" s="42"/>
      <c r="R554" s="45"/>
      <c r="S554" s="45"/>
    </row>
    <row r="555">
      <c r="C555" s="42"/>
      <c r="D555" s="42"/>
      <c r="E555" s="42"/>
      <c r="K555" s="42"/>
      <c r="L555" s="42"/>
      <c r="M555" s="42"/>
      <c r="Q555" s="42"/>
      <c r="R555" s="45"/>
      <c r="S555" s="45"/>
    </row>
    <row r="556">
      <c r="C556" s="42"/>
      <c r="D556" s="42"/>
      <c r="E556" s="42"/>
      <c r="K556" s="42"/>
      <c r="L556" s="42"/>
      <c r="M556" s="42"/>
      <c r="Q556" s="42"/>
      <c r="R556" s="45"/>
      <c r="S556" s="45"/>
    </row>
    <row r="557">
      <c r="C557" s="42"/>
      <c r="D557" s="42"/>
      <c r="E557" s="42"/>
      <c r="K557" s="42"/>
      <c r="L557" s="42"/>
      <c r="M557" s="42"/>
      <c r="Q557" s="42"/>
      <c r="R557" s="45"/>
      <c r="S557" s="45"/>
    </row>
    <row r="558">
      <c r="C558" s="42"/>
      <c r="D558" s="42"/>
      <c r="E558" s="42"/>
      <c r="K558" s="42"/>
      <c r="L558" s="42"/>
      <c r="M558" s="42"/>
      <c r="Q558" s="42"/>
      <c r="R558" s="45"/>
      <c r="S558" s="45"/>
    </row>
    <row r="559">
      <c r="C559" s="42"/>
      <c r="D559" s="42"/>
      <c r="E559" s="42"/>
      <c r="K559" s="42"/>
      <c r="L559" s="42"/>
      <c r="M559" s="42"/>
      <c r="Q559" s="42"/>
      <c r="R559" s="45"/>
      <c r="S559" s="45"/>
    </row>
    <row r="560">
      <c r="C560" s="42"/>
      <c r="D560" s="42"/>
      <c r="E560" s="42"/>
      <c r="K560" s="42"/>
      <c r="L560" s="42"/>
      <c r="M560" s="42"/>
      <c r="Q560" s="42"/>
      <c r="R560" s="45"/>
      <c r="S560" s="45"/>
    </row>
    <row r="561">
      <c r="C561" s="42"/>
      <c r="D561" s="42"/>
      <c r="E561" s="42"/>
      <c r="K561" s="42"/>
      <c r="L561" s="42"/>
      <c r="M561" s="42"/>
      <c r="Q561" s="42"/>
      <c r="R561" s="45"/>
      <c r="S561" s="45"/>
    </row>
    <row r="562">
      <c r="C562" s="42"/>
      <c r="D562" s="42"/>
      <c r="E562" s="42"/>
      <c r="K562" s="42"/>
      <c r="L562" s="42"/>
      <c r="M562" s="42"/>
      <c r="Q562" s="42"/>
      <c r="R562" s="45"/>
      <c r="S562" s="45"/>
    </row>
    <row r="563">
      <c r="C563" s="42"/>
      <c r="D563" s="42"/>
      <c r="E563" s="42"/>
      <c r="K563" s="42"/>
      <c r="L563" s="42"/>
      <c r="M563" s="42"/>
      <c r="Q563" s="42"/>
      <c r="R563" s="45"/>
      <c r="S563" s="45"/>
    </row>
    <row r="564">
      <c r="C564" s="42"/>
      <c r="D564" s="42"/>
      <c r="E564" s="42"/>
      <c r="K564" s="42"/>
      <c r="L564" s="42"/>
      <c r="M564" s="42"/>
      <c r="Q564" s="42"/>
      <c r="R564" s="45"/>
      <c r="S564" s="45"/>
    </row>
    <row r="565">
      <c r="C565" s="42"/>
      <c r="D565" s="42"/>
      <c r="E565" s="42"/>
      <c r="K565" s="42"/>
      <c r="L565" s="42"/>
      <c r="M565" s="42"/>
      <c r="Q565" s="42"/>
      <c r="R565" s="45"/>
      <c r="S565" s="45"/>
    </row>
    <row r="566">
      <c r="C566" s="42"/>
      <c r="D566" s="42"/>
      <c r="E566" s="42"/>
      <c r="K566" s="42"/>
      <c r="L566" s="42"/>
      <c r="M566" s="42"/>
      <c r="Q566" s="42"/>
      <c r="R566" s="45"/>
      <c r="S566" s="45"/>
    </row>
    <row r="567">
      <c r="C567" s="42"/>
      <c r="D567" s="42"/>
      <c r="E567" s="42"/>
      <c r="K567" s="42"/>
      <c r="L567" s="42"/>
      <c r="M567" s="42"/>
      <c r="Q567" s="42"/>
      <c r="R567" s="45"/>
      <c r="S567" s="45"/>
    </row>
    <row r="568">
      <c r="C568" s="42"/>
      <c r="D568" s="42"/>
      <c r="E568" s="42"/>
      <c r="K568" s="42"/>
      <c r="L568" s="42"/>
      <c r="M568" s="42"/>
      <c r="Q568" s="42"/>
      <c r="R568" s="45"/>
      <c r="S568" s="45"/>
    </row>
    <row r="569">
      <c r="C569" s="42"/>
      <c r="D569" s="42"/>
      <c r="E569" s="42"/>
      <c r="K569" s="42"/>
      <c r="L569" s="42"/>
      <c r="M569" s="42"/>
      <c r="Q569" s="42"/>
      <c r="R569" s="45"/>
      <c r="S569" s="45"/>
    </row>
    <row r="570">
      <c r="C570" s="42"/>
      <c r="D570" s="42"/>
      <c r="E570" s="42"/>
      <c r="K570" s="42"/>
      <c r="L570" s="42"/>
      <c r="M570" s="42"/>
      <c r="Q570" s="42"/>
      <c r="R570" s="45"/>
      <c r="S570" s="45"/>
    </row>
    <row r="571">
      <c r="C571" s="42"/>
      <c r="D571" s="42"/>
      <c r="E571" s="42"/>
      <c r="K571" s="42"/>
      <c r="L571" s="42"/>
      <c r="M571" s="42"/>
      <c r="Q571" s="42"/>
      <c r="R571" s="45"/>
      <c r="S571" s="45"/>
    </row>
    <row r="572">
      <c r="C572" s="42"/>
      <c r="D572" s="42"/>
      <c r="E572" s="42"/>
      <c r="K572" s="42"/>
      <c r="L572" s="42"/>
      <c r="M572" s="42"/>
      <c r="Q572" s="42"/>
      <c r="R572" s="45"/>
      <c r="S572" s="45"/>
    </row>
    <row r="573">
      <c r="C573" s="42"/>
      <c r="D573" s="42"/>
      <c r="E573" s="42"/>
      <c r="K573" s="42"/>
      <c r="L573" s="42"/>
      <c r="M573" s="42"/>
      <c r="Q573" s="42"/>
      <c r="R573" s="45"/>
      <c r="S573" s="45"/>
    </row>
    <row r="574">
      <c r="C574" s="42"/>
      <c r="D574" s="42"/>
      <c r="E574" s="42"/>
      <c r="K574" s="42"/>
      <c r="L574" s="42"/>
      <c r="M574" s="42"/>
      <c r="Q574" s="42"/>
      <c r="R574" s="45"/>
      <c r="S574" s="45"/>
    </row>
    <row r="575">
      <c r="C575" s="42"/>
      <c r="D575" s="42"/>
      <c r="E575" s="42"/>
      <c r="K575" s="42"/>
      <c r="L575" s="42"/>
      <c r="M575" s="42"/>
      <c r="Q575" s="42"/>
      <c r="R575" s="45"/>
      <c r="S575" s="45"/>
    </row>
    <row r="576">
      <c r="C576" s="42"/>
      <c r="D576" s="42"/>
      <c r="E576" s="42"/>
      <c r="K576" s="42"/>
      <c r="L576" s="42"/>
      <c r="M576" s="42"/>
      <c r="Q576" s="42"/>
      <c r="R576" s="45"/>
      <c r="S576" s="45"/>
    </row>
    <row r="577">
      <c r="C577" s="42"/>
      <c r="D577" s="42"/>
      <c r="E577" s="42"/>
      <c r="K577" s="42"/>
      <c r="L577" s="42"/>
      <c r="M577" s="42"/>
      <c r="Q577" s="42"/>
      <c r="R577" s="45"/>
      <c r="S577" s="45"/>
    </row>
    <row r="578">
      <c r="C578" s="42"/>
      <c r="D578" s="42"/>
      <c r="E578" s="42"/>
      <c r="K578" s="42"/>
      <c r="L578" s="42"/>
      <c r="M578" s="42"/>
      <c r="Q578" s="42"/>
      <c r="R578" s="45"/>
      <c r="S578" s="45"/>
    </row>
    <row r="579">
      <c r="C579" s="42"/>
      <c r="D579" s="42"/>
      <c r="E579" s="42"/>
      <c r="K579" s="42"/>
      <c r="L579" s="42"/>
      <c r="M579" s="42"/>
      <c r="Q579" s="42"/>
      <c r="R579" s="45"/>
      <c r="S579" s="45"/>
    </row>
    <row r="580">
      <c r="C580" s="42"/>
      <c r="D580" s="42"/>
      <c r="E580" s="42"/>
      <c r="K580" s="42"/>
      <c r="L580" s="42"/>
      <c r="M580" s="42"/>
      <c r="Q580" s="42"/>
      <c r="R580" s="45"/>
      <c r="S580" s="45"/>
    </row>
    <row r="581">
      <c r="C581" s="42"/>
      <c r="D581" s="42"/>
      <c r="E581" s="42"/>
      <c r="K581" s="42"/>
      <c r="L581" s="42"/>
      <c r="M581" s="42"/>
      <c r="Q581" s="42"/>
      <c r="R581" s="45"/>
      <c r="S581" s="45"/>
    </row>
    <row r="582">
      <c r="C582" s="42"/>
      <c r="D582" s="42"/>
      <c r="E582" s="42"/>
      <c r="K582" s="42"/>
      <c r="L582" s="42"/>
      <c r="M582" s="42"/>
      <c r="Q582" s="42"/>
      <c r="R582" s="45"/>
      <c r="S582" s="45"/>
    </row>
    <row r="583">
      <c r="C583" s="42"/>
      <c r="D583" s="42"/>
      <c r="E583" s="42"/>
      <c r="K583" s="42"/>
      <c r="L583" s="42"/>
      <c r="M583" s="42"/>
      <c r="Q583" s="42"/>
      <c r="R583" s="45"/>
      <c r="S583" s="45"/>
    </row>
    <row r="584">
      <c r="C584" s="42"/>
      <c r="D584" s="42"/>
      <c r="E584" s="42"/>
      <c r="K584" s="3" t="s">
        <v>3</v>
      </c>
      <c r="L584" s="3" t="s">
        <v>184</v>
      </c>
      <c r="M584" s="3" t="s">
        <v>185</v>
      </c>
      <c r="N584" s="3" t="s">
        <v>186</v>
      </c>
      <c r="O584" s="3" t="s">
        <v>187</v>
      </c>
      <c r="P584" s="3" t="s">
        <v>188</v>
      </c>
      <c r="Q584" s="3" t="s">
        <v>189</v>
      </c>
      <c r="R584" s="3" t="s">
        <v>190</v>
      </c>
      <c r="S584" s="3" t="s">
        <v>191</v>
      </c>
      <c r="T584" s="3" t="s">
        <v>192</v>
      </c>
      <c r="U584" s="3" t="s">
        <v>193</v>
      </c>
      <c r="V584" s="3" t="s">
        <v>7</v>
      </c>
      <c r="W584" s="3" t="s">
        <v>8</v>
      </c>
      <c r="X584" s="3" t="s">
        <v>194</v>
      </c>
      <c r="Y584" s="3" t="s">
        <v>195</v>
      </c>
      <c r="Z584" s="3" t="s">
        <v>196</v>
      </c>
      <c r="AA584" s="3" t="s">
        <v>197</v>
      </c>
    </row>
    <row r="585">
      <c r="C585" s="42"/>
      <c r="D585" s="42"/>
      <c r="E585" s="42"/>
      <c r="K585" s="23" t="s">
        <v>198</v>
      </c>
      <c r="L585" s="23">
        <v>4.0</v>
      </c>
      <c r="M585" s="23">
        <v>4.0</v>
      </c>
      <c r="N585" s="23">
        <v>5.0</v>
      </c>
      <c r="O585" s="23">
        <v>3.0</v>
      </c>
      <c r="P585" s="23">
        <v>2.0</v>
      </c>
      <c r="Q585" s="23">
        <v>5.0</v>
      </c>
      <c r="R585" s="23" t="s">
        <v>199</v>
      </c>
      <c r="S585" s="23" t="s">
        <v>200</v>
      </c>
      <c r="T585" s="23" t="s">
        <v>201</v>
      </c>
      <c r="U585" s="23">
        <v>20.0</v>
      </c>
      <c r="V585" s="23">
        <v>4.0</v>
      </c>
      <c r="W585" s="23" t="s">
        <v>202</v>
      </c>
      <c r="X585" s="23" t="s">
        <v>203</v>
      </c>
      <c r="Y585" s="23" t="s">
        <v>204</v>
      </c>
      <c r="Z585" s="23" t="s">
        <v>205</v>
      </c>
      <c r="AA585" s="23">
        <v>10.0</v>
      </c>
    </row>
    <row r="586">
      <c r="C586" s="42"/>
      <c r="D586" s="42"/>
      <c r="E586" s="42"/>
      <c r="K586" s="42"/>
      <c r="L586" s="42"/>
      <c r="M586" s="42"/>
      <c r="Q586" s="42"/>
      <c r="R586" s="45"/>
      <c r="S586" s="45"/>
    </row>
    <row r="587">
      <c r="C587" s="42"/>
      <c r="D587" s="42"/>
      <c r="E587" s="42"/>
      <c r="K587" s="42"/>
      <c r="L587" s="42"/>
      <c r="M587" s="42"/>
      <c r="Q587" s="42"/>
      <c r="R587" s="45"/>
      <c r="S587" s="45"/>
    </row>
    <row r="588">
      <c r="C588" s="42"/>
      <c r="D588" s="42"/>
      <c r="E588" s="42"/>
      <c r="K588" s="42"/>
      <c r="L588" s="42"/>
      <c r="M588" s="42"/>
      <c r="Q588" s="42"/>
      <c r="R588" s="45"/>
      <c r="S588" s="45"/>
    </row>
    <row r="589">
      <c r="C589" s="42"/>
      <c r="D589" s="42"/>
      <c r="E589" s="42"/>
      <c r="K589" s="42"/>
      <c r="L589" s="42"/>
      <c r="M589" s="42"/>
      <c r="Q589" s="42"/>
      <c r="R589" s="45"/>
      <c r="S589" s="45"/>
    </row>
    <row r="590">
      <c r="C590" s="42"/>
      <c r="D590" s="42"/>
      <c r="E590" s="42"/>
      <c r="K590" s="42"/>
      <c r="L590" s="42"/>
      <c r="M590" s="42"/>
      <c r="Q590" s="42"/>
      <c r="R590" s="45"/>
      <c r="S590" s="45"/>
    </row>
    <row r="591">
      <c r="C591" s="42"/>
      <c r="D591" s="42"/>
      <c r="E591" s="42"/>
      <c r="K591" s="42"/>
      <c r="L591" s="42"/>
      <c r="M591" s="42"/>
      <c r="Q591" s="42"/>
      <c r="R591" s="45"/>
      <c r="S591" s="45"/>
    </row>
    <row r="592">
      <c r="C592" s="42"/>
      <c r="D592" s="42"/>
      <c r="E592" s="42"/>
      <c r="K592" s="42"/>
      <c r="L592" s="42"/>
      <c r="M592" s="42"/>
      <c r="Q592" s="42"/>
      <c r="R592" s="45"/>
      <c r="S592" s="45"/>
    </row>
    <row r="593">
      <c r="C593" s="42"/>
      <c r="D593" s="42"/>
      <c r="E593" s="42"/>
      <c r="K593" s="42"/>
      <c r="L593" s="42"/>
      <c r="M593" s="42"/>
      <c r="Q593" s="42"/>
      <c r="R593" s="45"/>
      <c r="S593" s="45"/>
    </row>
    <row r="594">
      <c r="C594" s="42"/>
      <c r="D594" s="42"/>
      <c r="E594" s="42"/>
      <c r="K594" s="42"/>
      <c r="L594" s="42"/>
      <c r="M594" s="42"/>
      <c r="Q594" s="42"/>
      <c r="R594" s="45"/>
      <c r="S594" s="45"/>
    </row>
    <row r="595">
      <c r="C595" s="42"/>
      <c r="D595" s="42"/>
      <c r="E595" s="42"/>
      <c r="K595" s="42"/>
      <c r="L595" s="42"/>
      <c r="M595" s="42"/>
      <c r="Q595" s="42"/>
      <c r="R595" s="45"/>
      <c r="S595" s="45"/>
    </row>
    <row r="596">
      <c r="C596" s="42"/>
      <c r="D596" s="42"/>
      <c r="E596" s="42"/>
      <c r="K596" s="42"/>
      <c r="L596" s="42"/>
      <c r="M596" s="42"/>
      <c r="Q596" s="42"/>
      <c r="R596" s="45"/>
      <c r="S596" s="45"/>
    </row>
    <row r="597">
      <c r="C597" s="42"/>
      <c r="D597" s="42"/>
      <c r="E597" s="42"/>
      <c r="K597" s="42"/>
      <c r="L597" s="42"/>
      <c r="M597" s="42"/>
      <c r="Q597" s="42"/>
      <c r="R597" s="45"/>
      <c r="S597" s="45"/>
    </row>
    <row r="598">
      <c r="C598" s="42"/>
      <c r="D598" s="42"/>
      <c r="E598" s="42"/>
      <c r="K598" s="42"/>
      <c r="L598" s="42"/>
      <c r="M598" s="42"/>
      <c r="Q598" s="42"/>
      <c r="R598" s="45"/>
      <c r="S598" s="45"/>
    </row>
    <row r="599">
      <c r="C599" s="42"/>
      <c r="D599" s="42"/>
      <c r="E599" s="42"/>
      <c r="K599" s="42"/>
      <c r="L599" s="42"/>
      <c r="M599" s="42"/>
      <c r="Q599" s="42"/>
      <c r="R599" s="45"/>
      <c r="S599" s="45"/>
    </row>
    <row r="600">
      <c r="C600" s="42"/>
      <c r="D600" s="42"/>
      <c r="E600" s="42"/>
      <c r="K600" s="42"/>
      <c r="L600" s="42"/>
      <c r="M600" s="42"/>
      <c r="Q600" s="42"/>
      <c r="R600" s="45"/>
      <c r="S600" s="45"/>
    </row>
    <row r="601">
      <c r="C601" s="42"/>
      <c r="D601" s="42"/>
      <c r="E601" s="42"/>
      <c r="K601" s="42"/>
      <c r="L601" s="42"/>
      <c r="M601" s="42"/>
      <c r="Q601" s="42"/>
      <c r="R601" s="45"/>
      <c r="S601" s="45"/>
    </row>
    <row r="602">
      <c r="C602" s="42"/>
      <c r="D602" s="42"/>
      <c r="E602" s="42"/>
      <c r="K602" s="42"/>
      <c r="L602" s="42"/>
      <c r="M602" s="42"/>
      <c r="Q602" s="42"/>
      <c r="R602" s="45"/>
      <c r="S602" s="45"/>
    </row>
    <row r="603">
      <c r="C603" s="42"/>
      <c r="D603" s="42"/>
      <c r="E603" s="42"/>
      <c r="K603" s="42"/>
      <c r="L603" s="42"/>
      <c r="M603" s="42"/>
      <c r="Q603" s="42"/>
      <c r="R603" s="45"/>
      <c r="S603" s="45"/>
    </row>
    <row r="604">
      <c r="C604" s="42"/>
      <c r="D604" s="42"/>
      <c r="E604" s="42"/>
      <c r="K604" s="42"/>
      <c r="L604" s="42"/>
      <c r="M604" s="42"/>
      <c r="Q604" s="42"/>
      <c r="R604" s="45"/>
      <c r="S604" s="45"/>
    </row>
    <row r="605">
      <c r="C605" s="42"/>
      <c r="D605" s="42"/>
      <c r="E605" s="42"/>
      <c r="K605" s="42"/>
      <c r="L605" s="42"/>
      <c r="M605" s="42"/>
      <c r="Q605" s="42"/>
      <c r="R605" s="45"/>
      <c r="S605" s="45"/>
    </row>
    <row r="606">
      <c r="C606" s="42"/>
      <c r="D606" s="42"/>
      <c r="E606" s="42"/>
      <c r="K606" s="42"/>
      <c r="L606" s="42"/>
      <c r="M606" s="42"/>
      <c r="Q606" s="42"/>
      <c r="R606" s="45"/>
      <c r="S606" s="45"/>
    </row>
    <row r="607">
      <c r="C607" s="42"/>
      <c r="D607" s="42"/>
      <c r="E607" s="42"/>
      <c r="K607" s="42"/>
      <c r="L607" s="42"/>
      <c r="M607" s="42"/>
      <c r="Q607" s="42"/>
      <c r="R607" s="45"/>
      <c r="S607" s="45"/>
    </row>
    <row r="608">
      <c r="C608" s="42"/>
      <c r="D608" s="42"/>
      <c r="E608" s="42"/>
      <c r="K608" s="42"/>
      <c r="L608" s="42"/>
      <c r="M608" s="42"/>
      <c r="Q608" s="42"/>
      <c r="R608" s="45"/>
      <c r="S608" s="45"/>
    </row>
    <row r="609">
      <c r="C609" s="42"/>
      <c r="D609" s="42"/>
      <c r="E609" s="42"/>
      <c r="K609" s="42"/>
      <c r="L609" s="42"/>
      <c r="M609" s="42"/>
      <c r="Q609" s="42"/>
      <c r="R609" s="45"/>
      <c r="S609" s="45"/>
    </row>
    <row r="610">
      <c r="C610" s="42"/>
      <c r="D610" s="42"/>
      <c r="E610" s="42"/>
      <c r="K610" s="42"/>
      <c r="L610" s="42"/>
      <c r="M610" s="42"/>
      <c r="Q610" s="42"/>
      <c r="R610" s="45"/>
      <c r="S610" s="45"/>
    </row>
    <row r="611">
      <c r="C611" s="42"/>
      <c r="D611" s="42"/>
      <c r="E611" s="42"/>
      <c r="K611" s="42"/>
      <c r="L611" s="42"/>
      <c r="M611" s="42"/>
      <c r="Q611" s="42"/>
      <c r="R611" s="45"/>
      <c r="S611" s="45"/>
    </row>
    <row r="612">
      <c r="C612" s="42"/>
      <c r="D612" s="42"/>
      <c r="E612" s="42"/>
      <c r="K612" s="42"/>
      <c r="L612" s="42"/>
      <c r="M612" s="42"/>
      <c r="Q612" s="42"/>
      <c r="R612" s="45"/>
      <c r="S612" s="45"/>
    </row>
    <row r="613">
      <c r="C613" s="42"/>
      <c r="D613" s="42"/>
      <c r="E613" s="42"/>
      <c r="K613" s="42"/>
      <c r="L613" s="42"/>
      <c r="M613" s="42"/>
      <c r="Q613" s="42"/>
      <c r="R613" s="45"/>
      <c r="S613" s="45"/>
    </row>
    <row r="614">
      <c r="C614" s="42"/>
      <c r="D614" s="42"/>
      <c r="E614" s="42"/>
      <c r="K614" s="42"/>
      <c r="L614" s="42"/>
      <c r="M614" s="42"/>
      <c r="Q614" s="42"/>
      <c r="R614" s="45"/>
      <c r="S614" s="45"/>
    </row>
    <row r="615">
      <c r="C615" s="42"/>
      <c r="D615" s="42"/>
      <c r="E615" s="42"/>
      <c r="K615" s="42"/>
      <c r="L615" s="42"/>
      <c r="M615" s="42"/>
      <c r="Q615" s="42"/>
      <c r="R615" s="45"/>
      <c r="S615" s="45"/>
    </row>
    <row r="616">
      <c r="C616" s="42"/>
      <c r="D616" s="42"/>
      <c r="E616" s="42"/>
      <c r="K616" s="42"/>
      <c r="L616" s="42"/>
      <c r="M616" s="42"/>
      <c r="Q616" s="42"/>
      <c r="R616" s="45"/>
      <c r="S616" s="45"/>
    </row>
    <row r="617">
      <c r="C617" s="42"/>
      <c r="D617" s="42"/>
      <c r="E617" s="42"/>
      <c r="K617" s="42"/>
      <c r="L617" s="42"/>
      <c r="M617" s="42"/>
      <c r="Q617" s="42"/>
      <c r="R617" s="45"/>
      <c r="S617" s="45"/>
    </row>
    <row r="618">
      <c r="C618" s="42"/>
      <c r="D618" s="42"/>
      <c r="E618" s="42"/>
      <c r="K618" s="42"/>
      <c r="L618" s="42"/>
      <c r="M618" s="42"/>
      <c r="Q618" s="42"/>
      <c r="R618" s="45"/>
      <c r="S618" s="45"/>
    </row>
    <row r="619">
      <c r="C619" s="42"/>
      <c r="D619" s="42"/>
      <c r="E619" s="42"/>
      <c r="K619" s="42"/>
      <c r="L619" s="42"/>
      <c r="M619" s="42"/>
      <c r="Q619" s="42"/>
      <c r="R619" s="45"/>
      <c r="S619" s="45"/>
    </row>
    <row r="620">
      <c r="C620" s="42"/>
      <c r="D620" s="42"/>
      <c r="E620" s="42"/>
      <c r="K620" s="42"/>
      <c r="L620" s="42"/>
      <c r="M620" s="42"/>
      <c r="Q620" s="42"/>
      <c r="R620" s="45"/>
      <c r="S620" s="45"/>
    </row>
    <row r="621">
      <c r="C621" s="42"/>
      <c r="D621" s="42"/>
      <c r="E621" s="42"/>
      <c r="K621" s="42"/>
      <c r="L621" s="42"/>
      <c r="M621" s="42"/>
      <c r="Q621" s="42"/>
      <c r="R621" s="45"/>
      <c r="S621" s="45"/>
    </row>
    <row r="622">
      <c r="C622" s="42"/>
      <c r="D622" s="42"/>
      <c r="E622" s="42"/>
      <c r="K622" s="42"/>
      <c r="L622" s="42"/>
      <c r="M622" s="42"/>
      <c r="Q622" s="42"/>
      <c r="R622" s="45"/>
      <c r="S622" s="45"/>
    </row>
    <row r="623">
      <c r="C623" s="42"/>
      <c r="D623" s="42"/>
      <c r="E623" s="42"/>
      <c r="K623" s="42"/>
      <c r="L623" s="42"/>
      <c r="M623" s="42"/>
      <c r="Q623" s="42"/>
      <c r="R623" s="45"/>
      <c r="S623" s="45"/>
    </row>
    <row r="624">
      <c r="C624" s="42"/>
      <c r="D624" s="42"/>
      <c r="E624" s="42"/>
      <c r="K624" s="42"/>
      <c r="L624" s="42"/>
      <c r="M624" s="42"/>
      <c r="Q624" s="42"/>
      <c r="R624" s="45"/>
      <c r="S624" s="45"/>
    </row>
    <row r="625">
      <c r="C625" s="42"/>
      <c r="D625" s="42"/>
      <c r="E625" s="42"/>
      <c r="K625" s="42"/>
      <c r="L625" s="42"/>
      <c r="M625" s="42"/>
      <c r="Q625" s="42"/>
      <c r="R625" s="45"/>
      <c r="S625" s="45"/>
    </row>
    <row r="626">
      <c r="C626" s="42"/>
      <c r="D626" s="42"/>
      <c r="E626" s="42"/>
      <c r="K626" s="42"/>
      <c r="L626" s="42"/>
      <c r="M626" s="42"/>
      <c r="Q626" s="42"/>
      <c r="R626" s="45"/>
      <c r="S626" s="45"/>
    </row>
    <row r="627">
      <c r="C627" s="42"/>
      <c r="D627" s="42"/>
      <c r="E627" s="42"/>
      <c r="K627" s="42"/>
      <c r="L627" s="42"/>
      <c r="M627" s="42"/>
      <c r="Q627" s="42"/>
      <c r="R627" s="45"/>
      <c r="S627" s="45"/>
    </row>
    <row r="628">
      <c r="C628" s="42"/>
      <c r="D628" s="42"/>
      <c r="E628" s="42"/>
      <c r="K628" s="42"/>
      <c r="L628" s="42"/>
      <c r="M628" s="42"/>
      <c r="Q628" s="42"/>
      <c r="R628" s="45"/>
      <c r="S628" s="45"/>
    </row>
    <row r="629">
      <c r="C629" s="42"/>
      <c r="D629" s="42"/>
      <c r="E629" s="42"/>
      <c r="K629" s="42"/>
      <c r="L629" s="42"/>
      <c r="M629" s="42"/>
      <c r="Q629" s="42"/>
      <c r="R629" s="45"/>
      <c r="S629" s="45"/>
    </row>
    <row r="630">
      <c r="C630" s="42"/>
      <c r="D630" s="42"/>
      <c r="E630" s="42"/>
      <c r="K630" s="42"/>
      <c r="L630" s="42"/>
      <c r="M630" s="42"/>
      <c r="Q630" s="42"/>
      <c r="R630" s="45"/>
      <c r="S630" s="45"/>
    </row>
    <row r="631">
      <c r="C631" s="42"/>
      <c r="D631" s="42"/>
      <c r="E631" s="42"/>
      <c r="K631" s="42"/>
      <c r="L631" s="42"/>
      <c r="M631" s="42"/>
      <c r="Q631" s="42"/>
      <c r="R631" s="45"/>
      <c r="S631" s="45"/>
    </row>
    <row r="632">
      <c r="C632" s="42"/>
      <c r="D632" s="42"/>
      <c r="E632" s="42"/>
      <c r="K632" s="42"/>
      <c r="L632" s="42"/>
      <c r="M632" s="42"/>
      <c r="Q632" s="42"/>
      <c r="R632" s="45"/>
      <c r="S632" s="45"/>
    </row>
    <row r="633">
      <c r="C633" s="42"/>
      <c r="D633" s="42"/>
      <c r="E633" s="42"/>
      <c r="K633" s="42"/>
      <c r="L633" s="42"/>
      <c r="M633" s="42"/>
      <c r="Q633" s="42"/>
      <c r="R633" s="45"/>
      <c r="S633" s="45"/>
    </row>
    <row r="634">
      <c r="C634" s="42"/>
      <c r="D634" s="42"/>
      <c r="E634" s="42"/>
      <c r="K634" s="42"/>
      <c r="L634" s="42"/>
      <c r="M634" s="42"/>
      <c r="Q634" s="42"/>
      <c r="R634" s="45"/>
      <c r="S634" s="45"/>
    </row>
    <row r="635">
      <c r="C635" s="42"/>
      <c r="D635" s="42"/>
      <c r="E635" s="42"/>
      <c r="K635" s="42"/>
      <c r="L635" s="42"/>
      <c r="M635" s="42"/>
      <c r="Q635" s="42"/>
      <c r="R635" s="45"/>
      <c r="S635" s="45"/>
    </row>
    <row r="636">
      <c r="C636" s="42"/>
      <c r="D636" s="42"/>
      <c r="E636" s="42"/>
      <c r="K636" s="42"/>
      <c r="L636" s="42"/>
      <c r="M636" s="42"/>
      <c r="Q636" s="42"/>
      <c r="R636" s="45"/>
      <c r="S636" s="45"/>
    </row>
    <row r="637">
      <c r="C637" s="42"/>
      <c r="D637" s="42"/>
      <c r="E637" s="42"/>
      <c r="K637" s="42"/>
      <c r="L637" s="42"/>
      <c r="M637" s="42"/>
      <c r="Q637" s="42"/>
      <c r="R637" s="45"/>
      <c r="S637" s="45"/>
    </row>
    <row r="638">
      <c r="C638" s="42"/>
      <c r="D638" s="42"/>
      <c r="E638" s="42"/>
      <c r="K638" s="42"/>
      <c r="L638" s="42"/>
      <c r="M638" s="42"/>
      <c r="Q638" s="42"/>
      <c r="R638" s="45"/>
      <c r="S638" s="45"/>
    </row>
    <row r="639">
      <c r="C639" s="42"/>
      <c r="D639" s="42"/>
      <c r="E639" s="42"/>
      <c r="K639" s="42"/>
      <c r="L639" s="42"/>
      <c r="M639" s="42"/>
      <c r="Q639" s="42"/>
      <c r="R639" s="45"/>
      <c r="S639" s="45"/>
    </row>
    <row r="640">
      <c r="C640" s="42"/>
      <c r="D640" s="42"/>
      <c r="E640" s="42"/>
      <c r="K640" s="42"/>
      <c r="L640" s="42"/>
      <c r="M640" s="42"/>
      <c r="Q640" s="42"/>
      <c r="R640" s="45"/>
      <c r="S640" s="45"/>
    </row>
    <row r="641">
      <c r="C641" s="42"/>
      <c r="D641" s="42"/>
      <c r="E641" s="42"/>
      <c r="K641" s="42"/>
      <c r="L641" s="42"/>
      <c r="M641" s="42"/>
      <c r="Q641" s="42"/>
      <c r="R641" s="45"/>
      <c r="S641" s="45"/>
    </row>
    <row r="642">
      <c r="C642" s="42"/>
      <c r="D642" s="42"/>
      <c r="E642" s="42"/>
      <c r="K642" s="42"/>
      <c r="L642" s="42"/>
      <c r="M642" s="42"/>
      <c r="Q642" s="42"/>
      <c r="R642" s="45"/>
      <c r="S642" s="45"/>
    </row>
    <row r="643">
      <c r="C643" s="42"/>
      <c r="D643" s="42"/>
      <c r="E643" s="42"/>
      <c r="K643" s="42"/>
      <c r="L643" s="42"/>
      <c r="M643" s="42"/>
      <c r="Q643" s="42"/>
      <c r="R643" s="45"/>
      <c r="S643" s="45"/>
    </row>
    <row r="644">
      <c r="C644" s="42"/>
      <c r="D644" s="42"/>
      <c r="E644" s="42"/>
      <c r="K644" s="42"/>
      <c r="L644" s="42"/>
      <c r="M644" s="42"/>
      <c r="Q644" s="42"/>
      <c r="R644" s="45"/>
      <c r="S644" s="45"/>
    </row>
    <row r="645">
      <c r="C645" s="42"/>
      <c r="D645" s="42"/>
      <c r="E645" s="42"/>
      <c r="K645" s="42"/>
      <c r="L645" s="42"/>
      <c r="M645" s="42"/>
      <c r="Q645" s="42"/>
      <c r="R645" s="45"/>
      <c r="S645" s="45"/>
    </row>
    <row r="646">
      <c r="C646" s="42"/>
      <c r="D646" s="42"/>
      <c r="E646" s="42"/>
      <c r="K646" s="42"/>
      <c r="L646" s="42"/>
      <c r="M646" s="42"/>
      <c r="Q646" s="42"/>
      <c r="R646" s="45"/>
      <c r="S646" s="45"/>
    </row>
    <row r="647">
      <c r="C647" s="42"/>
      <c r="D647" s="42"/>
      <c r="E647" s="42"/>
      <c r="K647" s="42"/>
      <c r="L647" s="42"/>
      <c r="M647" s="42"/>
      <c r="Q647" s="42"/>
      <c r="R647" s="45"/>
      <c r="S647" s="45"/>
    </row>
    <row r="648">
      <c r="C648" s="42"/>
      <c r="D648" s="42"/>
      <c r="E648" s="42"/>
      <c r="K648" s="42"/>
      <c r="L648" s="42"/>
      <c r="M648" s="42"/>
      <c r="Q648" s="42"/>
      <c r="R648" s="45"/>
      <c r="S648" s="45"/>
    </row>
    <row r="649">
      <c r="C649" s="42"/>
      <c r="D649" s="42"/>
      <c r="E649" s="42"/>
      <c r="K649" s="42"/>
      <c r="L649" s="42"/>
      <c r="M649" s="42"/>
      <c r="Q649" s="42"/>
      <c r="R649" s="45"/>
      <c r="S649" s="45"/>
    </row>
    <row r="650">
      <c r="C650" s="42"/>
      <c r="D650" s="42"/>
      <c r="E650" s="42"/>
      <c r="K650" s="42"/>
      <c r="L650" s="42"/>
      <c r="M650" s="42"/>
      <c r="Q650" s="42"/>
      <c r="R650" s="45"/>
      <c r="S650" s="45"/>
    </row>
    <row r="651">
      <c r="C651" s="42"/>
      <c r="D651" s="42"/>
      <c r="E651" s="42"/>
      <c r="K651" s="42"/>
      <c r="L651" s="42"/>
      <c r="M651" s="42"/>
      <c r="Q651" s="42"/>
      <c r="R651" s="45"/>
      <c r="S651" s="45"/>
    </row>
    <row r="652">
      <c r="C652" s="42"/>
      <c r="D652" s="42"/>
      <c r="E652" s="42"/>
      <c r="K652" s="42"/>
      <c r="L652" s="42"/>
      <c r="M652" s="42"/>
      <c r="Q652" s="42"/>
      <c r="R652" s="45"/>
      <c r="S652" s="45"/>
    </row>
    <row r="653">
      <c r="C653" s="42"/>
      <c r="D653" s="42"/>
      <c r="E653" s="42"/>
      <c r="K653" s="42"/>
      <c r="L653" s="42"/>
      <c r="M653" s="42"/>
      <c r="Q653" s="42"/>
      <c r="R653" s="45"/>
      <c r="S653" s="45"/>
    </row>
    <row r="654">
      <c r="C654" s="42"/>
      <c r="D654" s="42"/>
      <c r="E654" s="42"/>
      <c r="K654" s="42"/>
      <c r="L654" s="42"/>
      <c r="M654" s="42"/>
      <c r="Q654" s="42"/>
      <c r="R654" s="45"/>
      <c r="S654" s="45"/>
    </row>
    <row r="655">
      <c r="C655" s="42"/>
      <c r="D655" s="42"/>
      <c r="E655" s="42"/>
      <c r="K655" s="42"/>
      <c r="L655" s="42"/>
      <c r="M655" s="42"/>
      <c r="Q655" s="42"/>
      <c r="R655" s="45"/>
      <c r="S655" s="45"/>
    </row>
    <row r="656">
      <c r="C656" s="42"/>
      <c r="D656" s="42"/>
      <c r="E656" s="42"/>
      <c r="K656" s="42"/>
      <c r="L656" s="42"/>
      <c r="M656" s="42"/>
      <c r="Q656" s="42"/>
      <c r="R656" s="45"/>
      <c r="S656" s="45"/>
    </row>
    <row r="657">
      <c r="C657" s="42"/>
      <c r="D657" s="42"/>
      <c r="E657" s="42"/>
      <c r="K657" s="42"/>
      <c r="L657" s="42"/>
      <c r="M657" s="42"/>
      <c r="Q657" s="42"/>
      <c r="R657" s="45"/>
      <c r="S657" s="45"/>
    </row>
    <row r="658">
      <c r="C658" s="42"/>
      <c r="D658" s="42"/>
      <c r="E658" s="42"/>
      <c r="K658" s="42"/>
      <c r="L658" s="42"/>
      <c r="M658" s="42"/>
      <c r="Q658" s="42"/>
      <c r="R658" s="45"/>
      <c r="S658" s="45"/>
    </row>
    <row r="659">
      <c r="C659" s="42"/>
      <c r="D659" s="42"/>
      <c r="E659" s="42"/>
      <c r="K659" s="42"/>
      <c r="L659" s="42"/>
      <c r="M659" s="42"/>
      <c r="Q659" s="42"/>
      <c r="R659" s="45"/>
      <c r="S659" s="45"/>
    </row>
    <row r="660">
      <c r="C660" s="42"/>
      <c r="D660" s="42"/>
      <c r="E660" s="42"/>
      <c r="K660" s="42"/>
      <c r="L660" s="42"/>
      <c r="M660" s="42"/>
      <c r="Q660" s="42"/>
      <c r="R660" s="45"/>
      <c r="S660" s="45"/>
    </row>
    <row r="661">
      <c r="C661" s="42"/>
      <c r="D661" s="42"/>
      <c r="E661" s="42"/>
      <c r="K661" s="42"/>
      <c r="L661" s="42"/>
      <c r="M661" s="42"/>
      <c r="Q661" s="42"/>
      <c r="R661" s="45"/>
      <c r="S661" s="45"/>
    </row>
    <row r="662">
      <c r="C662" s="42"/>
      <c r="D662" s="42"/>
      <c r="E662" s="42"/>
      <c r="K662" s="42"/>
      <c r="L662" s="42"/>
      <c r="M662" s="42"/>
      <c r="Q662" s="42"/>
      <c r="R662" s="45"/>
      <c r="S662" s="45"/>
    </row>
    <row r="663">
      <c r="C663" s="42"/>
      <c r="D663" s="42"/>
      <c r="E663" s="42"/>
      <c r="K663" s="42"/>
      <c r="L663" s="42"/>
      <c r="M663" s="42"/>
      <c r="Q663" s="42"/>
      <c r="R663" s="45"/>
      <c r="S663" s="45"/>
    </row>
    <row r="664">
      <c r="C664" s="42"/>
      <c r="D664" s="42"/>
      <c r="E664" s="42"/>
      <c r="K664" s="42"/>
      <c r="L664" s="42"/>
      <c r="M664" s="42"/>
      <c r="Q664" s="42"/>
      <c r="R664" s="45"/>
      <c r="S664" s="45"/>
    </row>
    <row r="665">
      <c r="C665" s="42"/>
      <c r="D665" s="42"/>
      <c r="E665" s="42"/>
      <c r="K665" s="42"/>
      <c r="L665" s="42"/>
      <c r="M665" s="42"/>
      <c r="Q665" s="42"/>
      <c r="R665" s="45"/>
      <c r="S665" s="45"/>
    </row>
    <row r="666">
      <c r="C666" s="42"/>
      <c r="D666" s="42"/>
      <c r="E666" s="42"/>
      <c r="K666" s="42"/>
      <c r="L666" s="42"/>
      <c r="M666" s="42"/>
      <c r="Q666" s="42"/>
      <c r="R666" s="45"/>
      <c r="S666" s="45"/>
    </row>
    <row r="667">
      <c r="C667" s="42"/>
      <c r="D667" s="42"/>
      <c r="E667" s="42"/>
      <c r="K667" s="42"/>
      <c r="L667" s="42"/>
      <c r="M667" s="42"/>
      <c r="Q667" s="42"/>
      <c r="R667" s="45"/>
      <c r="S667" s="45"/>
    </row>
    <row r="668">
      <c r="C668" s="42"/>
      <c r="D668" s="42"/>
      <c r="E668" s="42"/>
      <c r="K668" s="42"/>
      <c r="L668" s="42"/>
      <c r="M668" s="42"/>
      <c r="Q668" s="42"/>
      <c r="R668" s="45"/>
      <c r="S668" s="45"/>
    </row>
    <row r="669">
      <c r="C669" s="42"/>
      <c r="D669" s="42"/>
      <c r="E669" s="42"/>
      <c r="K669" s="42"/>
      <c r="L669" s="42"/>
      <c r="M669" s="42"/>
      <c r="Q669" s="42"/>
      <c r="R669" s="45"/>
      <c r="S669" s="45"/>
    </row>
    <row r="670">
      <c r="C670" s="42"/>
      <c r="D670" s="42"/>
      <c r="E670" s="42"/>
      <c r="K670" s="42"/>
      <c r="L670" s="42"/>
      <c r="M670" s="42"/>
      <c r="Q670" s="42"/>
      <c r="R670" s="45"/>
      <c r="S670" s="45"/>
    </row>
    <row r="671">
      <c r="C671" s="42"/>
      <c r="D671" s="42"/>
      <c r="E671" s="42"/>
      <c r="K671" s="42"/>
      <c r="L671" s="42"/>
      <c r="M671" s="42"/>
      <c r="Q671" s="42"/>
      <c r="R671" s="45"/>
      <c r="S671" s="45"/>
    </row>
    <row r="672">
      <c r="C672" s="42"/>
      <c r="D672" s="42"/>
      <c r="E672" s="42"/>
      <c r="K672" s="42"/>
      <c r="L672" s="42"/>
      <c r="M672" s="42"/>
      <c r="Q672" s="42"/>
      <c r="R672" s="45"/>
      <c r="S672" s="45"/>
    </row>
    <row r="673">
      <c r="C673" s="42"/>
      <c r="D673" s="42"/>
      <c r="E673" s="42"/>
      <c r="K673" s="42"/>
      <c r="L673" s="42"/>
      <c r="M673" s="42"/>
      <c r="Q673" s="42"/>
      <c r="R673" s="45"/>
      <c r="S673" s="45"/>
    </row>
    <row r="674">
      <c r="C674" s="42"/>
      <c r="D674" s="42"/>
      <c r="E674" s="42"/>
      <c r="K674" s="42"/>
      <c r="L674" s="42"/>
      <c r="M674" s="42"/>
      <c r="Q674" s="42"/>
      <c r="R674" s="45"/>
      <c r="S674" s="45"/>
    </row>
    <row r="675">
      <c r="C675" s="42"/>
      <c r="D675" s="42"/>
      <c r="E675" s="42"/>
      <c r="K675" s="42"/>
      <c r="L675" s="42"/>
      <c r="M675" s="42"/>
      <c r="Q675" s="42"/>
      <c r="R675" s="45"/>
      <c r="S675" s="45"/>
    </row>
    <row r="676">
      <c r="C676" s="42"/>
      <c r="D676" s="42"/>
      <c r="E676" s="42"/>
      <c r="K676" s="42"/>
      <c r="L676" s="42"/>
      <c r="M676" s="42"/>
      <c r="Q676" s="42"/>
      <c r="R676" s="45"/>
      <c r="S676" s="45"/>
    </row>
    <row r="677">
      <c r="C677" s="42"/>
      <c r="D677" s="42"/>
      <c r="E677" s="42"/>
      <c r="K677" s="42"/>
      <c r="L677" s="42"/>
      <c r="M677" s="42"/>
      <c r="Q677" s="42"/>
      <c r="R677" s="45"/>
      <c r="S677" s="45"/>
    </row>
    <row r="678">
      <c r="C678" s="42"/>
      <c r="D678" s="42"/>
      <c r="E678" s="42"/>
      <c r="K678" s="42"/>
      <c r="L678" s="42"/>
      <c r="M678" s="42"/>
      <c r="Q678" s="42"/>
      <c r="R678" s="45"/>
      <c r="S678" s="45"/>
    </row>
    <row r="679">
      <c r="C679" s="42"/>
      <c r="D679" s="42"/>
      <c r="E679" s="42"/>
      <c r="K679" s="42"/>
      <c r="L679" s="42"/>
      <c r="M679" s="42"/>
      <c r="Q679" s="42"/>
      <c r="R679" s="45"/>
      <c r="S679" s="45"/>
    </row>
    <row r="680">
      <c r="C680" s="42"/>
      <c r="D680" s="42"/>
      <c r="E680" s="42"/>
      <c r="K680" s="42"/>
      <c r="L680" s="42"/>
      <c r="M680" s="42"/>
      <c r="Q680" s="42"/>
      <c r="R680" s="45"/>
      <c r="S680" s="45"/>
    </row>
    <row r="681">
      <c r="C681" s="42"/>
      <c r="D681" s="42"/>
      <c r="E681" s="42"/>
      <c r="K681" s="42"/>
      <c r="L681" s="42"/>
      <c r="M681" s="42"/>
      <c r="Q681" s="42"/>
      <c r="R681" s="45"/>
      <c r="S681" s="45"/>
    </row>
    <row r="682">
      <c r="C682" s="42"/>
      <c r="D682" s="42"/>
      <c r="E682" s="42"/>
      <c r="K682" s="42"/>
      <c r="L682" s="42"/>
      <c r="M682" s="42"/>
      <c r="Q682" s="42"/>
      <c r="R682" s="45"/>
      <c r="S682" s="45"/>
    </row>
    <row r="683">
      <c r="C683" s="42"/>
      <c r="D683" s="42"/>
      <c r="E683" s="42"/>
      <c r="K683" s="42"/>
      <c r="L683" s="42"/>
      <c r="M683" s="42"/>
      <c r="Q683" s="42"/>
      <c r="R683" s="45"/>
      <c r="S683" s="45"/>
    </row>
    <row r="684">
      <c r="C684" s="42"/>
      <c r="D684" s="42"/>
      <c r="E684" s="42"/>
      <c r="K684" s="42"/>
      <c r="L684" s="42"/>
      <c r="M684" s="42"/>
      <c r="Q684" s="42"/>
      <c r="R684" s="45"/>
      <c r="S684" s="45"/>
    </row>
    <row r="685">
      <c r="C685" s="42"/>
      <c r="D685" s="42"/>
      <c r="E685" s="42"/>
      <c r="K685" s="42"/>
      <c r="L685" s="42"/>
      <c r="M685" s="42"/>
      <c r="Q685" s="42"/>
      <c r="R685" s="45"/>
      <c r="S685" s="45"/>
    </row>
    <row r="686">
      <c r="C686" s="42"/>
      <c r="D686" s="42"/>
      <c r="E686" s="42"/>
      <c r="K686" s="42"/>
      <c r="L686" s="42"/>
      <c r="M686" s="42"/>
      <c r="Q686" s="42"/>
      <c r="R686" s="45"/>
      <c r="S686" s="45"/>
    </row>
    <row r="687">
      <c r="C687" s="42"/>
      <c r="D687" s="42"/>
      <c r="E687" s="42"/>
      <c r="K687" s="42"/>
      <c r="L687" s="42"/>
      <c r="M687" s="42"/>
      <c r="Q687" s="42"/>
      <c r="R687" s="45"/>
      <c r="S687" s="45"/>
    </row>
    <row r="688">
      <c r="C688" s="42"/>
      <c r="D688" s="42"/>
      <c r="E688" s="42"/>
      <c r="K688" s="42"/>
      <c r="L688" s="42"/>
      <c r="M688" s="42"/>
      <c r="Q688" s="42"/>
      <c r="R688" s="45"/>
      <c r="S688" s="45"/>
    </row>
    <row r="689">
      <c r="C689" s="42"/>
      <c r="D689" s="42"/>
      <c r="E689" s="42"/>
      <c r="K689" s="42"/>
      <c r="L689" s="42"/>
      <c r="M689" s="42"/>
      <c r="Q689" s="42"/>
      <c r="R689" s="45"/>
      <c r="S689" s="45"/>
    </row>
    <row r="690">
      <c r="C690" s="42"/>
      <c r="D690" s="42"/>
      <c r="E690" s="42"/>
      <c r="K690" s="42"/>
      <c r="L690" s="42"/>
      <c r="M690" s="42"/>
      <c r="Q690" s="42"/>
      <c r="R690" s="45"/>
      <c r="S690" s="45"/>
    </row>
    <row r="691">
      <c r="C691" s="42"/>
      <c r="D691" s="42"/>
      <c r="E691" s="42"/>
      <c r="K691" s="42"/>
      <c r="L691" s="42"/>
      <c r="M691" s="42"/>
      <c r="Q691" s="42"/>
      <c r="R691" s="45"/>
      <c r="S691" s="45"/>
    </row>
    <row r="692">
      <c r="C692" s="42"/>
      <c r="D692" s="42"/>
      <c r="E692" s="42"/>
      <c r="K692" s="42"/>
      <c r="L692" s="42"/>
      <c r="M692" s="42"/>
      <c r="Q692" s="42"/>
      <c r="R692" s="45"/>
      <c r="S692" s="45"/>
    </row>
    <row r="693">
      <c r="C693" s="42"/>
      <c r="D693" s="42"/>
      <c r="E693" s="42"/>
      <c r="K693" s="42"/>
      <c r="L693" s="42"/>
      <c r="M693" s="42"/>
      <c r="Q693" s="42"/>
      <c r="R693" s="45"/>
      <c r="S693" s="45"/>
    </row>
    <row r="694">
      <c r="C694" s="42"/>
      <c r="D694" s="42"/>
      <c r="E694" s="42"/>
      <c r="K694" s="42"/>
      <c r="L694" s="42"/>
      <c r="M694" s="42"/>
      <c r="Q694" s="42"/>
      <c r="R694" s="45"/>
      <c r="S694" s="45"/>
    </row>
    <row r="695">
      <c r="C695" s="42"/>
      <c r="D695" s="42"/>
      <c r="E695" s="42"/>
      <c r="K695" s="42"/>
      <c r="L695" s="42"/>
      <c r="M695" s="42"/>
      <c r="Q695" s="42"/>
      <c r="R695" s="45"/>
      <c r="S695" s="45"/>
    </row>
    <row r="696">
      <c r="C696" s="42"/>
      <c r="D696" s="42"/>
      <c r="E696" s="42"/>
      <c r="K696" s="42"/>
      <c r="L696" s="42"/>
      <c r="M696" s="42"/>
      <c r="Q696" s="42"/>
      <c r="R696" s="45"/>
      <c r="S696" s="45"/>
    </row>
    <row r="697">
      <c r="C697" s="42"/>
      <c r="D697" s="42"/>
      <c r="E697" s="42"/>
      <c r="K697" s="42"/>
      <c r="L697" s="42"/>
      <c r="M697" s="42"/>
      <c r="Q697" s="42"/>
      <c r="R697" s="45"/>
      <c r="S697" s="45"/>
    </row>
    <row r="698">
      <c r="C698" s="42"/>
      <c r="D698" s="42"/>
      <c r="E698" s="42"/>
      <c r="K698" s="42"/>
      <c r="L698" s="42"/>
      <c r="M698" s="42"/>
      <c r="Q698" s="42"/>
      <c r="R698" s="45"/>
      <c r="S698" s="45"/>
    </row>
    <row r="699">
      <c r="C699" s="42"/>
      <c r="D699" s="42"/>
      <c r="E699" s="42"/>
      <c r="K699" s="42"/>
      <c r="L699" s="42"/>
      <c r="M699" s="42"/>
      <c r="Q699" s="42"/>
      <c r="R699" s="45"/>
      <c r="S699" s="45"/>
    </row>
    <row r="700">
      <c r="C700" s="42"/>
      <c r="D700" s="42"/>
      <c r="E700" s="42"/>
      <c r="K700" s="42"/>
      <c r="L700" s="42"/>
      <c r="M700" s="42"/>
      <c r="Q700" s="42"/>
      <c r="R700" s="45"/>
      <c r="S700" s="45"/>
    </row>
    <row r="701">
      <c r="C701" s="42"/>
      <c r="D701" s="42"/>
      <c r="E701" s="42"/>
      <c r="K701" s="42"/>
      <c r="L701" s="42"/>
      <c r="M701" s="42"/>
      <c r="Q701" s="42"/>
      <c r="R701" s="45"/>
      <c r="S701" s="45"/>
    </row>
    <row r="702">
      <c r="C702" s="42"/>
      <c r="D702" s="42"/>
      <c r="E702" s="42"/>
      <c r="K702" s="42"/>
      <c r="L702" s="42"/>
      <c r="M702" s="42"/>
      <c r="Q702" s="42"/>
      <c r="R702" s="45"/>
      <c r="S702" s="45"/>
    </row>
    <row r="703">
      <c r="C703" s="42"/>
      <c r="D703" s="42"/>
      <c r="E703" s="42"/>
      <c r="K703" s="42"/>
      <c r="L703" s="42"/>
      <c r="M703" s="42"/>
      <c r="Q703" s="42"/>
      <c r="R703" s="45"/>
      <c r="S703" s="45"/>
    </row>
    <row r="704">
      <c r="C704" s="42"/>
      <c r="D704" s="42"/>
      <c r="E704" s="42"/>
      <c r="K704" s="42"/>
      <c r="L704" s="42"/>
      <c r="M704" s="42"/>
      <c r="Q704" s="42"/>
      <c r="R704" s="45"/>
      <c r="S704" s="45"/>
    </row>
    <row r="705">
      <c r="C705" s="42"/>
      <c r="D705" s="42"/>
      <c r="E705" s="42"/>
      <c r="K705" s="42"/>
      <c r="L705" s="42"/>
      <c r="M705" s="42"/>
      <c r="Q705" s="42"/>
      <c r="R705" s="45"/>
      <c r="S705" s="45"/>
    </row>
    <row r="706">
      <c r="C706" s="42"/>
      <c r="D706" s="42"/>
      <c r="E706" s="42"/>
      <c r="K706" s="42"/>
      <c r="L706" s="42"/>
      <c r="M706" s="42"/>
      <c r="Q706" s="42"/>
      <c r="R706" s="45"/>
      <c r="S706" s="45"/>
    </row>
    <row r="707">
      <c r="C707" s="42"/>
      <c r="D707" s="42"/>
      <c r="E707" s="42"/>
      <c r="K707" s="42"/>
      <c r="L707" s="42"/>
      <c r="M707" s="42"/>
      <c r="Q707" s="42"/>
      <c r="R707" s="45"/>
      <c r="S707" s="45"/>
    </row>
    <row r="708">
      <c r="C708" s="42"/>
      <c r="D708" s="42"/>
      <c r="E708" s="42"/>
      <c r="K708" s="42"/>
      <c r="L708" s="42"/>
      <c r="M708" s="42"/>
      <c r="Q708" s="42"/>
      <c r="R708" s="45"/>
      <c r="S708" s="45"/>
    </row>
    <row r="709">
      <c r="C709" s="42"/>
      <c r="D709" s="42"/>
      <c r="E709" s="42"/>
      <c r="K709" s="42"/>
      <c r="L709" s="42"/>
      <c r="M709" s="42"/>
      <c r="Q709" s="42"/>
      <c r="R709" s="45"/>
      <c r="S709" s="45"/>
    </row>
    <row r="710">
      <c r="C710" s="42"/>
      <c r="D710" s="42"/>
      <c r="E710" s="42"/>
      <c r="K710" s="42"/>
      <c r="L710" s="42"/>
      <c r="M710" s="42"/>
      <c r="Q710" s="42"/>
      <c r="R710" s="45"/>
      <c r="S710" s="45"/>
    </row>
    <row r="711">
      <c r="C711" s="42"/>
      <c r="D711" s="42"/>
      <c r="E711" s="42"/>
      <c r="K711" s="42"/>
      <c r="L711" s="42"/>
      <c r="M711" s="42"/>
      <c r="Q711" s="42"/>
      <c r="R711" s="45"/>
      <c r="S711" s="45"/>
    </row>
    <row r="712">
      <c r="C712" s="42"/>
      <c r="D712" s="42"/>
      <c r="E712" s="42"/>
      <c r="K712" s="42"/>
      <c r="L712" s="42"/>
      <c r="M712" s="42"/>
      <c r="Q712" s="42"/>
      <c r="R712" s="45"/>
      <c r="S712" s="45"/>
    </row>
    <row r="713">
      <c r="C713" s="42"/>
      <c r="D713" s="42"/>
      <c r="E713" s="42"/>
      <c r="K713" s="42"/>
      <c r="L713" s="42"/>
      <c r="M713" s="42"/>
      <c r="Q713" s="42"/>
      <c r="R713" s="45"/>
      <c r="S713" s="45"/>
    </row>
    <row r="714">
      <c r="C714" s="42"/>
      <c r="D714" s="42"/>
      <c r="E714" s="42"/>
      <c r="K714" s="42"/>
      <c r="L714" s="42"/>
      <c r="M714" s="42"/>
      <c r="Q714" s="42"/>
      <c r="R714" s="45"/>
      <c r="S714" s="45"/>
    </row>
    <row r="715">
      <c r="C715" s="42"/>
      <c r="D715" s="42"/>
      <c r="E715" s="42"/>
      <c r="K715" s="42"/>
      <c r="L715" s="42"/>
      <c r="M715" s="42"/>
      <c r="Q715" s="42"/>
      <c r="R715" s="45"/>
      <c r="S715" s="45"/>
    </row>
    <row r="716">
      <c r="C716" s="42"/>
      <c r="D716" s="42"/>
      <c r="E716" s="42"/>
      <c r="K716" s="42"/>
      <c r="L716" s="42"/>
      <c r="M716" s="42"/>
      <c r="Q716" s="42"/>
      <c r="R716" s="45"/>
      <c r="S716" s="45"/>
    </row>
    <row r="717">
      <c r="C717" s="42"/>
      <c r="D717" s="42"/>
      <c r="E717" s="42"/>
      <c r="K717" s="42"/>
      <c r="L717" s="42"/>
      <c r="M717" s="42"/>
      <c r="Q717" s="42"/>
      <c r="R717" s="45"/>
      <c r="S717" s="45"/>
    </row>
    <row r="718">
      <c r="C718" s="42"/>
      <c r="D718" s="42"/>
      <c r="E718" s="42"/>
      <c r="K718" s="42"/>
      <c r="L718" s="42"/>
      <c r="M718" s="42"/>
      <c r="Q718" s="42"/>
      <c r="R718" s="45"/>
      <c r="S718" s="45"/>
    </row>
    <row r="719">
      <c r="C719" s="42"/>
      <c r="D719" s="42"/>
      <c r="E719" s="42"/>
      <c r="K719" s="42"/>
      <c r="L719" s="42"/>
      <c r="M719" s="42"/>
      <c r="Q719" s="42"/>
      <c r="R719" s="45"/>
      <c r="S719" s="45"/>
    </row>
    <row r="720">
      <c r="C720" s="42"/>
      <c r="D720" s="42"/>
      <c r="E720" s="42"/>
      <c r="K720" s="42"/>
      <c r="L720" s="42"/>
      <c r="M720" s="42"/>
      <c r="Q720" s="42"/>
      <c r="R720" s="45"/>
      <c r="S720" s="45"/>
    </row>
    <row r="721">
      <c r="C721" s="42"/>
      <c r="D721" s="42"/>
      <c r="E721" s="42"/>
      <c r="K721" s="42"/>
      <c r="L721" s="42"/>
      <c r="M721" s="42"/>
      <c r="Q721" s="42"/>
      <c r="R721" s="45"/>
      <c r="S721" s="45"/>
    </row>
    <row r="722">
      <c r="C722" s="42"/>
      <c r="D722" s="42"/>
      <c r="E722" s="42"/>
      <c r="K722" s="42"/>
      <c r="L722" s="42"/>
      <c r="M722" s="42"/>
      <c r="Q722" s="42"/>
      <c r="R722" s="45"/>
      <c r="S722" s="45"/>
    </row>
    <row r="723">
      <c r="C723" s="42"/>
      <c r="D723" s="42"/>
      <c r="E723" s="42"/>
      <c r="K723" s="42"/>
      <c r="L723" s="42"/>
      <c r="M723" s="42"/>
      <c r="Q723" s="42"/>
      <c r="R723" s="45"/>
      <c r="S723" s="45"/>
    </row>
    <row r="724">
      <c r="C724" s="42"/>
      <c r="D724" s="42"/>
      <c r="E724" s="42"/>
      <c r="K724" s="42"/>
      <c r="L724" s="42"/>
      <c r="M724" s="42"/>
      <c r="Q724" s="42"/>
      <c r="R724" s="45"/>
      <c r="S724" s="45"/>
    </row>
    <row r="725">
      <c r="C725" s="42"/>
      <c r="D725" s="42"/>
      <c r="E725" s="42"/>
      <c r="K725" s="42"/>
      <c r="L725" s="42"/>
      <c r="M725" s="42"/>
      <c r="Q725" s="42"/>
      <c r="R725" s="45"/>
      <c r="S725" s="45"/>
    </row>
    <row r="726">
      <c r="C726" s="42"/>
      <c r="D726" s="42"/>
      <c r="E726" s="42"/>
      <c r="K726" s="42"/>
      <c r="L726" s="42"/>
      <c r="M726" s="42"/>
      <c r="Q726" s="42"/>
      <c r="R726" s="45"/>
      <c r="S726" s="45"/>
    </row>
    <row r="727">
      <c r="C727" s="42"/>
      <c r="D727" s="42"/>
      <c r="E727" s="42"/>
      <c r="K727" s="42"/>
      <c r="L727" s="42"/>
      <c r="M727" s="42"/>
      <c r="Q727" s="42"/>
      <c r="R727" s="45"/>
      <c r="S727" s="45"/>
    </row>
    <row r="728">
      <c r="C728" s="42"/>
      <c r="D728" s="42"/>
      <c r="E728" s="42"/>
      <c r="K728" s="42"/>
      <c r="L728" s="42"/>
      <c r="M728" s="42"/>
      <c r="Q728" s="42"/>
      <c r="R728" s="45"/>
      <c r="S728" s="45"/>
    </row>
    <row r="729">
      <c r="C729" s="42"/>
      <c r="D729" s="42"/>
      <c r="E729" s="42"/>
      <c r="K729" s="42"/>
      <c r="L729" s="42"/>
      <c r="M729" s="42"/>
      <c r="Q729" s="42"/>
      <c r="R729" s="45"/>
      <c r="S729" s="45"/>
    </row>
    <row r="730">
      <c r="C730" s="42"/>
      <c r="D730" s="42"/>
      <c r="E730" s="42"/>
      <c r="K730" s="42"/>
      <c r="L730" s="42"/>
      <c r="M730" s="42"/>
      <c r="Q730" s="42"/>
      <c r="R730" s="45"/>
      <c r="S730" s="45"/>
    </row>
    <row r="731">
      <c r="C731" s="42"/>
      <c r="D731" s="42"/>
      <c r="E731" s="42"/>
      <c r="K731" s="42"/>
      <c r="L731" s="42"/>
      <c r="M731" s="42"/>
      <c r="Q731" s="42"/>
      <c r="R731" s="45"/>
      <c r="S731" s="45"/>
    </row>
    <row r="732">
      <c r="C732" s="42"/>
      <c r="D732" s="42"/>
      <c r="E732" s="42"/>
      <c r="K732" s="42"/>
      <c r="L732" s="42"/>
      <c r="M732" s="42"/>
      <c r="Q732" s="42"/>
      <c r="R732" s="45"/>
      <c r="S732" s="45"/>
    </row>
    <row r="733">
      <c r="C733" s="42"/>
      <c r="D733" s="42"/>
      <c r="E733" s="42"/>
      <c r="K733" s="42"/>
      <c r="L733" s="42"/>
      <c r="M733" s="42"/>
      <c r="Q733" s="42"/>
      <c r="R733" s="45"/>
      <c r="S733" s="45"/>
    </row>
    <row r="734">
      <c r="C734" s="42"/>
      <c r="D734" s="42"/>
      <c r="E734" s="42"/>
      <c r="K734" s="42"/>
      <c r="L734" s="42"/>
      <c r="M734" s="42"/>
      <c r="Q734" s="42"/>
      <c r="R734" s="45"/>
      <c r="S734" s="45"/>
    </row>
    <row r="735">
      <c r="C735" s="42"/>
      <c r="D735" s="42"/>
      <c r="E735" s="42"/>
      <c r="K735" s="42"/>
      <c r="L735" s="42"/>
      <c r="M735" s="42"/>
      <c r="Q735" s="42"/>
      <c r="R735" s="45"/>
      <c r="S735" s="45"/>
    </row>
    <row r="736">
      <c r="C736" s="42"/>
      <c r="D736" s="42"/>
      <c r="E736" s="42"/>
      <c r="K736" s="42"/>
      <c r="L736" s="42"/>
      <c r="M736" s="42"/>
      <c r="Q736" s="42"/>
      <c r="R736" s="45"/>
      <c r="S736" s="45"/>
    </row>
    <row r="737">
      <c r="C737" s="42"/>
      <c r="D737" s="42"/>
      <c r="E737" s="42"/>
      <c r="K737" s="42"/>
      <c r="L737" s="42"/>
      <c r="M737" s="42"/>
      <c r="Q737" s="42"/>
      <c r="R737" s="45"/>
      <c r="S737" s="45"/>
    </row>
    <row r="738">
      <c r="C738" s="42"/>
      <c r="D738" s="42"/>
      <c r="E738" s="42"/>
      <c r="K738" s="42"/>
      <c r="L738" s="42"/>
      <c r="M738" s="42"/>
      <c r="Q738" s="42"/>
      <c r="R738" s="45"/>
      <c r="S738" s="45"/>
    </row>
    <row r="739">
      <c r="C739" s="42"/>
      <c r="D739" s="42"/>
      <c r="E739" s="42"/>
      <c r="K739" s="42"/>
      <c r="L739" s="42"/>
      <c r="M739" s="42"/>
      <c r="Q739" s="42"/>
      <c r="R739" s="45"/>
      <c r="S739" s="45"/>
    </row>
    <row r="740">
      <c r="C740" s="42"/>
      <c r="D740" s="42"/>
      <c r="E740" s="42"/>
      <c r="K740" s="42"/>
      <c r="L740" s="42"/>
      <c r="M740" s="42"/>
      <c r="Q740" s="42"/>
      <c r="R740" s="45"/>
      <c r="S740" s="45"/>
    </row>
    <row r="741">
      <c r="C741" s="42"/>
      <c r="D741" s="42"/>
      <c r="E741" s="42"/>
      <c r="K741" s="42"/>
      <c r="L741" s="42"/>
      <c r="M741" s="42"/>
      <c r="Q741" s="42"/>
      <c r="R741" s="45"/>
      <c r="S741" s="45"/>
    </row>
    <row r="742">
      <c r="C742" s="42"/>
      <c r="D742" s="42"/>
      <c r="E742" s="42"/>
      <c r="K742" s="42"/>
      <c r="L742" s="42"/>
      <c r="M742" s="42"/>
      <c r="Q742" s="42"/>
      <c r="R742" s="45"/>
      <c r="S742" s="45"/>
    </row>
    <row r="743">
      <c r="C743" s="42"/>
      <c r="D743" s="42"/>
      <c r="E743" s="42"/>
      <c r="K743" s="42"/>
      <c r="L743" s="42"/>
      <c r="M743" s="42"/>
      <c r="Q743" s="42"/>
      <c r="R743" s="45"/>
      <c r="S743" s="45"/>
    </row>
    <row r="744">
      <c r="C744" s="42"/>
      <c r="D744" s="42"/>
      <c r="E744" s="42"/>
      <c r="K744" s="42"/>
      <c r="L744" s="42"/>
      <c r="M744" s="42"/>
      <c r="Q744" s="42"/>
      <c r="R744" s="45"/>
      <c r="S744" s="45"/>
    </row>
    <row r="745">
      <c r="C745" s="42"/>
      <c r="D745" s="42"/>
      <c r="E745" s="42"/>
      <c r="K745" s="42"/>
      <c r="L745" s="42"/>
      <c r="M745" s="42"/>
      <c r="Q745" s="42"/>
      <c r="R745" s="45"/>
      <c r="S745" s="45"/>
    </row>
    <row r="746">
      <c r="C746" s="42"/>
      <c r="D746" s="42"/>
      <c r="E746" s="42"/>
      <c r="K746" s="42"/>
      <c r="L746" s="42"/>
      <c r="M746" s="42"/>
      <c r="Q746" s="42"/>
      <c r="R746" s="45"/>
      <c r="S746" s="45"/>
    </row>
    <row r="747">
      <c r="C747" s="42"/>
      <c r="D747" s="42"/>
      <c r="E747" s="42"/>
      <c r="K747" s="42"/>
      <c r="L747" s="42"/>
      <c r="M747" s="42"/>
      <c r="Q747" s="42"/>
      <c r="R747" s="45"/>
      <c r="S747" s="45"/>
    </row>
    <row r="748">
      <c r="C748" s="42"/>
      <c r="D748" s="42"/>
      <c r="E748" s="42"/>
      <c r="K748" s="42"/>
      <c r="L748" s="42"/>
      <c r="M748" s="42"/>
      <c r="Q748" s="42"/>
      <c r="R748" s="45"/>
      <c r="S748" s="45"/>
    </row>
    <row r="749">
      <c r="C749" s="42"/>
      <c r="D749" s="42"/>
      <c r="E749" s="42"/>
      <c r="K749" s="42"/>
      <c r="L749" s="42"/>
      <c r="M749" s="42"/>
      <c r="Q749" s="42"/>
      <c r="R749" s="45"/>
      <c r="S749" s="45"/>
    </row>
    <row r="750">
      <c r="C750" s="42"/>
      <c r="D750" s="42"/>
      <c r="E750" s="42"/>
      <c r="K750" s="42"/>
      <c r="L750" s="42"/>
      <c r="M750" s="42"/>
      <c r="Q750" s="42"/>
      <c r="R750" s="45"/>
      <c r="S750" s="45"/>
    </row>
    <row r="751">
      <c r="C751" s="42"/>
      <c r="D751" s="42"/>
      <c r="E751" s="42"/>
      <c r="K751" s="42"/>
      <c r="L751" s="42"/>
      <c r="M751" s="42"/>
      <c r="Q751" s="42"/>
      <c r="R751" s="45"/>
      <c r="S751" s="45"/>
    </row>
    <row r="752">
      <c r="C752" s="42"/>
      <c r="D752" s="42"/>
      <c r="E752" s="42"/>
      <c r="K752" s="42"/>
      <c r="L752" s="42"/>
      <c r="M752" s="42"/>
      <c r="Q752" s="42"/>
      <c r="R752" s="45"/>
      <c r="S752" s="45"/>
    </row>
    <row r="753">
      <c r="C753" s="42"/>
      <c r="D753" s="42"/>
      <c r="E753" s="42"/>
      <c r="K753" s="42"/>
      <c r="L753" s="42"/>
      <c r="M753" s="42"/>
      <c r="Q753" s="42"/>
      <c r="R753" s="45"/>
      <c r="S753" s="45"/>
    </row>
    <row r="754">
      <c r="C754" s="42"/>
      <c r="D754" s="42"/>
      <c r="E754" s="42"/>
      <c r="K754" s="42"/>
      <c r="L754" s="42"/>
      <c r="M754" s="42"/>
      <c r="Q754" s="42"/>
      <c r="R754" s="45"/>
      <c r="S754" s="45"/>
    </row>
    <row r="755">
      <c r="C755" s="42"/>
      <c r="D755" s="42"/>
      <c r="E755" s="42"/>
      <c r="K755" s="42"/>
      <c r="L755" s="42"/>
      <c r="M755" s="42"/>
      <c r="Q755" s="42"/>
      <c r="R755" s="45"/>
      <c r="S755" s="45"/>
    </row>
    <row r="756">
      <c r="C756" s="42"/>
      <c r="D756" s="42"/>
      <c r="E756" s="42"/>
      <c r="K756" s="42"/>
      <c r="L756" s="42"/>
      <c r="M756" s="42"/>
      <c r="Q756" s="42"/>
      <c r="R756" s="45"/>
      <c r="S756" s="45"/>
    </row>
    <row r="757">
      <c r="C757" s="42"/>
      <c r="D757" s="42"/>
      <c r="E757" s="42"/>
      <c r="K757" s="42"/>
      <c r="L757" s="42"/>
      <c r="M757" s="42"/>
      <c r="Q757" s="42"/>
      <c r="R757" s="45"/>
      <c r="S757" s="45"/>
    </row>
    <row r="758">
      <c r="C758" s="42"/>
      <c r="D758" s="42"/>
      <c r="E758" s="42"/>
      <c r="K758" s="42"/>
      <c r="L758" s="42"/>
      <c r="M758" s="42"/>
      <c r="Q758" s="42"/>
      <c r="R758" s="45"/>
      <c r="S758" s="45"/>
    </row>
    <row r="759">
      <c r="C759" s="42"/>
      <c r="D759" s="42"/>
      <c r="E759" s="42"/>
      <c r="K759" s="42"/>
      <c r="L759" s="42"/>
      <c r="M759" s="42"/>
      <c r="Q759" s="42"/>
      <c r="R759" s="45"/>
      <c r="S759" s="45"/>
    </row>
    <row r="760">
      <c r="C760" s="42"/>
      <c r="D760" s="42"/>
      <c r="E760" s="42"/>
      <c r="K760" s="42"/>
      <c r="L760" s="42"/>
      <c r="M760" s="42"/>
      <c r="Q760" s="42"/>
      <c r="R760" s="45"/>
      <c r="S760" s="45"/>
    </row>
    <row r="761">
      <c r="C761" s="42"/>
      <c r="D761" s="42"/>
      <c r="E761" s="42"/>
      <c r="K761" s="42"/>
      <c r="L761" s="42"/>
      <c r="M761" s="42"/>
      <c r="Q761" s="42"/>
      <c r="R761" s="45"/>
      <c r="S761" s="45"/>
    </row>
    <row r="762">
      <c r="C762" s="42"/>
      <c r="D762" s="42"/>
      <c r="E762" s="42"/>
      <c r="K762" s="42"/>
      <c r="L762" s="42"/>
      <c r="M762" s="42"/>
      <c r="Q762" s="42"/>
      <c r="R762" s="45"/>
      <c r="S762" s="45"/>
    </row>
    <row r="763">
      <c r="C763" s="42"/>
      <c r="D763" s="42"/>
      <c r="E763" s="42"/>
      <c r="K763" s="42"/>
      <c r="L763" s="42"/>
      <c r="M763" s="42"/>
      <c r="Q763" s="42"/>
      <c r="R763" s="45"/>
      <c r="S763" s="45"/>
    </row>
    <row r="764">
      <c r="C764" s="42"/>
      <c r="D764" s="42"/>
      <c r="E764" s="42"/>
      <c r="K764" s="42"/>
      <c r="L764" s="42"/>
      <c r="M764" s="42"/>
      <c r="Q764" s="42"/>
      <c r="R764" s="45"/>
      <c r="S764" s="45"/>
    </row>
    <row r="765">
      <c r="C765" s="42"/>
      <c r="D765" s="42"/>
      <c r="E765" s="42"/>
      <c r="K765" s="42"/>
      <c r="L765" s="42"/>
      <c r="M765" s="42"/>
      <c r="Q765" s="42"/>
      <c r="R765" s="45"/>
      <c r="S765" s="45"/>
    </row>
    <row r="766">
      <c r="C766" s="42"/>
      <c r="D766" s="42"/>
      <c r="E766" s="42"/>
      <c r="K766" s="42"/>
      <c r="L766" s="42"/>
      <c r="M766" s="42"/>
      <c r="Q766" s="42"/>
      <c r="R766" s="45"/>
      <c r="S766" s="45"/>
    </row>
    <row r="767">
      <c r="C767" s="42"/>
      <c r="D767" s="42"/>
      <c r="E767" s="42"/>
      <c r="K767" s="42"/>
      <c r="L767" s="42"/>
      <c r="M767" s="42"/>
      <c r="Q767" s="42"/>
      <c r="R767" s="45"/>
      <c r="S767" s="45"/>
    </row>
    <row r="768">
      <c r="C768" s="42"/>
      <c r="D768" s="42"/>
      <c r="E768" s="42"/>
      <c r="K768" s="42"/>
      <c r="L768" s="42"/>
      <c r="M768" s="42"/>
      <c r="Q768" s="42"/>
      <c r="R768" s="45"/>
      <c r="S768" s="45"/>
    </row>
    <row r="769">
      <c r="C769" s="42"/>
      <c r="D769" s="42"/>
      <c r="E769" s="42"/>
      <c r="K769" s="42"/>
      <c r="L769" s="42"/>
      <c r="M769" s="42"/>
      <c r="Q769" s="42"/>
      <c r="R769" s="45"/>
      <c r="S769" s="45"/>
    </row>
    <row r="770">
      <c r="C770" s="42"/>
      <c r="D770" s="42"/>
      <c r="E770" s="42"/>
      <c r="K770" s="42"/>
      <c r="L770" s="42"/>
      <c r="M770" s="42"/>
      <c r="Q770" s="42"/>
      <c r="R770" s="45"/>
      <c r="S770" s="45"/>
    </row>
    <row r="771">
      <c r="C771" s="42"/>
      <c r="D771" s="42"/>
      <c r="E771" s="42"/>
      <c r="K771" s="42"/>
      <c r="L771" s="42"/>
      <c r="M771" s="42"/>
      <c r="Q771" s="42"/>
      <c r="R771" s="45"/>
      <c r="S771" s="45"/>
    </row>
    <row r="772">
      <c r="C772" s="42"/>
      <c r="D772" s="42"/>
      <c r="E772" s="42"/>
      <c r="K772" s="42"/>
      <c r="L772" s="42"/>
      <c r="M772" s="42"/>
      <c r="Q772" s="42"/>
      <c r="R772" s="45"/>
      <c r="S772" s="45"/>
    </row>
    <row r="773">
      <c r="C773" s="42"/>
      <c r="D773" s="42"/>
      <c r="E773" s="42"/>
      <c r="K773" s="42"/>
      <c r="L773" s="42"/>
      <c r="M773" s="42"/>
      <c r="Q773" s="42"/>
      <c r="R773" s="45"/>
      <c r="S773" s="45"/>
    </row>
    <row r="774">
      <c r="C774" s="42"/>
      <c r="D774" s="42"/>
      <c r="E774" s="42"/>
      <c r="K774" s="42"/>
      <c r="L774" s="42"/>
      <c r="M774" s="42"/>
      <c r="Q774" s="42"/>
      <c r="R774" s="45"/>
      <c r="S774" s="45"/>
    </row>
    <row r="775">
      <c r="C775" s="42"/>
      <c r="D775" s="42"/>
      <c r="E775" s="42"/>
      <c r="K775" s="42"/>
      <c r="L775" s="42"/>
      <c r="M775" s="42"/>
      <c r="Q775" s="42"/>
      <c r="R775" s="45"/>
      <c r="S775" s="45"/>
    </row>
    <row r="776">
      <c r="C776" s="42"/>
      <c r="D776" s="42"/>
      <c r="E776" s="42"/>
      <c r="K776" s="42"/>
      <c r="L776" s="42"/>
      <c r="M776" s="42"/>
      <c r="Q776" s="42"/>
      <c r="R776" s="45"/>
      <c r="S776" s="45"/>
    </row>
    <row r="777">
      <c r="C777" s="42"/>
      <c r="D777" s="42"/>
      <c r="E777" s="42"/>
      <c r="K777" s="42"/>
      <c r="L777" s="42"/>
      <c r="M777" s="42"/>
      <c r="Q777" s="42"/>
      <c r="R777" s="45"/>
      <c r="S777" s="45"/>
    </row>
    <row r="778">
      <c r="C778" s="42"/>
      <c r="D778" s="42"/>
      <c r="E778" s="42"/>
      <c r="K778" s="42"/>
      <c r="L778" s="42"/>
      <c r="M778" s="42"/>
      <c r="Q778" s="42"/>
      <c r="R778" s="45"/>
      <c r="S778" s="45"/>
    </row>
    <row r="779">
      <c r="C779" s="42"/>
      <c r="D779" s="42"/>
      <c r="E779" s="42"/>
      <c r="K779" s="42"/>
      <c r="L779" s="42"/>
      <c r="M779" s="42"/>
      <c r="Q779" s="42"/>
      <c r="R779" s="45"/>
      <c r="S779" s="45"/>
    </row>
    <row r="780">
      <c r="C780" s="42"/>
      <c r="D780" s="42"/>
      <c r="E780" s="42"/>
      <c r="K780" s="42"/>
      <c r="L780" s="42"/>
      <c r="M780" s="42"/>
      <c r="Q780" s="42"/>
      <c r="R780" s="45"/>
      <c r="S780" s="45"/>
    </row>
    <row r="781">
      <c r="C781" s="42"/>
      <c r="D781" s="42"/>
      <c r="E781" s="42"/>
      <c r="K781" s="42"/>
      <c r="L781" s="42"/>
      <c r="M781" s="42"/>
      <c r="Q781" s="42"/>
      <c r="R781" s="45"/>
      <c r="S781" s="45"/>
    </row>
    <row r="782">
      <c r="C782" s="42"/>
      <c r="D782" s="42"/>
      <c r="E782" s="42"/>
      <c r="K782" s="42"/>
      <c r="L782" s="42"/>
      <c r="M782" s="42"/>
      <c r="Q782" s="42"/>
      <c r="R782" s="45"/>
      <c r="S782" s="45"/>
    </row>
    <row r="783">
      <c r="C783" s="42"/>
      <c r="D783" s="42"/>
      <c r="E783" s="42"/>
      <c r="K783" s="42"/>
      <c r="L783" s="42"/>
      <c r="M783" s="42"/>
      <c r="Q783" s="42"/>
      <c r="R783" s="45"/>
      <c r="S783" s="45"/>
    </row>
    <row r="784">
      <c r="C784" s="42"/>
      <c r="D784" s="42"/>
      <c r="E784" s="42"/>
      <c r="K784" s="42"/>
      <c r="L784" s="42"/>
      <c r="M784" s="42"/>
      <c r="Q784" s="42"/>
      <c r="R784" s="45"/>
      <c r="S784" s="45"/>
    </row>
    <row r="785">
      <c r="C785" s="42"/>
      <c r="D785" s="42"/>
      <c r="E785" s="42"/>
      <c r="K785" s="42"/>
      <c r="L785" s="42"/>
      <c r="M785" s="42"/>
      <c r="Q785" s="42"/>
      <c r="R785" s="45"/>
      <c r="S785" s="45"/>
    </row>
    <row r="786">
      <c r="C786" s="42"/>
      <c r="D786" s="42"/>
      <c r="E786" s="42"/>
      <c r="K786" s="42"/>
      <c r="L786" s="42"/>
      <c r="M786" s="42"/>
      <c r="Q786" s="42"/>
      <c r="R786" s="45"/>
      <c r="S786" s="45"/>
    </row>
    <row r="787">
      <c r="C787" s="42"/>
      <c r="D787" s="42"/>
      <c r="E787" s="42"/>
      <c r="K787" s="42"/>
      <c r="L787" s="42"/>
      <c r="M787" s="42"/>
      <c r="Q787" s="42"/>
      <c r="R787" s="45"/>
      <c r="S787" s="45"/>
    </row>
    <row r="788">
      <c r="C788" s="42"/>
      <c r="D788" s="42"/>
      <c r="E788" s="42"/>
      <c r="K788" s="42"/>
      <c r="L788" s="42"/>
      <c r="M788" s="42"/>
      <c r="Q788" s="42"/>
      <c r="R788" s="45"/>
      <c r="S788" s="45"/>
    </row>
    <row r="789">
      <c r="C789" s="42"/>
      <c r="D789" s="42"/>
      <c r="E789" s="42"/>
      <c r="K789" s="42"/>
      <c r="L789" s="42"/>
      <c r="M789" s="42"/>
      <c r="Q789" s="42"/>
      <c r="R789" s="45"/>
      <c r="S789" s="45"/>
    </row>
    <row r="790">
      <c r="C790" s="42"/>
      <c r="D790" s="42"/>
      <c r="E790" s="42"/>
      <c r="K790" s="42"/>
      <c r="L790" s="42"/>
      <c r="M790" s="42"/>
      <c r="Q790" s="42"/>
      <c r="R790" s="45"/>
      <c r="S790" s="45"/>
    </row>
    <row r="791">
      <c r="C791" s="42"/>
      <c r="D791" s="42"/>
      <c r="E791" s="42"/>
      <c r="K791" s="42"/>
      <c r="L791" s="42"/>
      <c r="M791" s="42"/>
      <c r="Q791" s="42"/>
      <c r="R791" s="45"/>
      <c r="S791" s="45"/>
    </row>
    <row r="792">
      <c r="C792" s="42"/>
      <c r="D792" s="42"/>
      <c r="E792" s="42"/>
      <c r="K792" s="42"/>
      <c r="L792" s="42"/>
      <c r="M792" s="42"/>
      <c r="Q792" s="42"/>
      <c r="R792" s="45"/>
      <c r="S792" s="45"/>
    </row>
    <row r="793">
      <c r="C793" s="42"/>
      <c r="D793" s="42"/>
      <c r="E793" s="42"/>
      <c r="K793" s="42"/>
      <c r="L793" s="42"/>
      <c r="M793" s="42"/>
      <c r="Q793" s="42"/>
      <c r="R793" s="45"/>
      <c r="S793" s="45"/>
    </row>
    <row r="794">
      <c r="C794" s="42"/>
      <c r="D794" s="42"/>
      <c r="E794" s="42"/>
      <c r="K794" s="42"/>
      <c r="L794" s="42"/>
      <c r="M794" s="42"/>
      <c r="Q794" s="42"/>
      <c r="R794" s="45"/>
      <c r="S794" s="45"/>
    </row>
    <row r="795">
      <c r="C795" s="42"/>
      <c r="D795" s="42"/>
      <c r="E795" s="42"/>
      <c r="K795" s="42"/>
      <c r="L795" s="42"/>
      <c r="M795" s="42"/>
      <c r="Q795" s="42"/>
      <c r="R795" s="45"/>
      <c r="S795" s="45"/>
    </row>
    <row r="796">
      <c r="C796" s="42"/>
      <c r="D796" s="42"/>
      <c r="E796" s="42"/>
      <c r="K796" s="42"/>
      <c r="L796" s="42"/>
      <c r="M796" s="42"/>
      <c r="Q796" s="42"/>
      <c r="R796" s="45"/>
      <c r="S796" s="45"/>
    </row>
    <row r="797">
      <c r="C797" s="42"/>
      <c r="D797" s="42"/>
      <c r="E797" s="42"/>
      <c r="K797" s="42"/>
      <c r="L797" s="42"/>
      <c r="M797" s="42"/>
      <c r="Q797" s="42"/>
      <c r="R797" s="45"/>
      <c r="S797" s="45"/>
    </row>
    <row r="798">
      <c r="C798" s="42"/>
      <c r="D798" s="42"/>
      <c r="E798" s="42"/>
      <c r="K798" s="42"/>
      <c r="L798" s="42"/>
      <c r="M798" s="42"/>
      <c r="Q798" s="42"/>
      <c r="R798" s="45"/>
      <c r="S798" s="45"/>
    </row>
    <row r="799">
      <c r="C799" s="42"/>
      <c r="D799" s="42"/>
      <c r="E799" s="42"/>
      <c r="K799" s="42"/>
      <c r="L799" s="42"/>
      <c r="M799" s="42"/>
      <c r="Q799" s="42"/>
      <c r="R799" s="45"/>
      <c r="S799" s="45"/>
    </row>
    <row r="800">
      <c r="C800" s="42"/>
      <c r="D800" s="42"/>
      <c r="E800" s="42"/>
      <c r="K800" s="42"/>
      <c r="L800" s="42"/>
      <c r="M800" s="42"/>
      <c r="Q800" s="42"/>
      <c r="R800" s="45"/>
      <c r="S800" s="45"/>
    </row>
    <row r="801">
      <c r="C801" s="42"/>
      <c r="D801" s="42"/>
      <c r="E801" s="42"/>
      <c r="K801" s="42"/>
      <c r="L801" s="42"/>
      <c r="M801" s="42"/>
      <c r="Q801" s="42"/>
      <c r="R801" s="45"/>
      <c r="S801" s="45"/>
    </row>
    <row r="802">
      <c r="C802" s="42"/>
      <c r="D802" s="42"/>
      <c r="E802" s="42"/>
      <c r="K802" s="42"/>
      <c r="L802" s="42"/>
      <c r="M802" s="42"/>
      <c r="Q802" s="42"/>
      <c r="R802" s="45"/>
      <c r="S802" s="45"/>
    </row>
    <row r="803">
      <c r="C803" s="42"/>
      <c r="D803" s="42"/>
      <c r="E803" s="42"/>
      <c r="K803" s="42"/>
      <c r="L803" s="42"/>
      <c r="M803" s="42"/>
      <c r="Q803" s="42"/>
      <c r="R803" s="45"/>
      <c r="S803" s="45"/>
    </row>
    <row r="804">
      <c r="C804" s="42"/>
      <c r="D804" s="42"/>
      <c r="E804" s="42"/>
      <c r="K804" s="42"/>
      <c r="L804" s="42"/>
      <c r="M804" s="42"/>
      <c r="Q804" s="42"/>
      <c r="R804" s="45"/>
      <c r="S804" s="45"/>
    </row>
    <row r="805">
      <c r="C805" s="42"/>
      <c r="D805" s="42"/>
      <c r="E805" s="42"/>
      <c r="K805" s="42"/>
      <c r="L805" s="42"/>
      <c r="M805" s="42"/>
      <c r="Q805" s="42"/>
      <c r="R805" s="45"/>
      <c r="S805" s="45"/>
    </row>
    <row r="806">
      <c r="C806" s="42"/>
      <c r="D806" s="42"/>
      <c r="E806" s="42"/>
      <c r="K806" s="42"/>
      <c r="L806" s="42"/>
      <c r="M806" s="42"/>
      <c r="Q806" s="42"/>
      <c r="R806" s="45"/>
      <c r="S806" s="45"/>
    </row>
    <row r="807">
      <c r="C807" s="42"/>
      <c r="D807" s="42"/>
      <c r="E807" s="42"/>
      <c r="K807" s="42"/>
      <c r="L807" s="42"/>
      <c r="M807" s="42"/>
      <c r="Q807" s="42"/>
      <c r="R807" s="45"/>
      <c r="S807" s="45"/>
    </row>
    <row r="808">
      <c r="C808" s="42"/>
      <c r="D808" s="42"/>
      <c r="E808" s="42"/>
      <c r="K808" s="42"/>
      <c r="L808" s="42"/>
      <c r="M808" s="42"/>
      <c r="Q808" s="42"/>
      <c r="R808" s="45"/>
      <c r="S808" s="45"/>
    </row>
    <row r="809">
      <c r="C809" s="42"/>
      <c r="D809" s="42"/>
      <c r="E809" s="42"/>
      <c r="K809" s="42"/>
      <c r="L809" s="42"/>
      <c r="M809" s="42"/>
      <c r="Q809" s="42"/>
      <c r="R809" s="45"/>
      <c r="S809" s="45"/>
    </row>
    <row r="810">
      <c r="C810" s="42"/>
      <c r="D810" s="42"/>
      <c r="E810" s="42"/>
      <c r="K810" s="42"/>
      <c r="L810" s="42"/>
      <c r="M810" s="42"/>
      <c r="Q810" s="42"/>
      <c r="R810" s="45"/>
      <c r="S810" s="45"/>
    </row>
    <row r="811">
      <c r="C811" s="42"/>
      <c r="D811" s="42"/>
      <c r="E811" s="42"/>
      <c r="K811" s="42"/>
      <c r="L811" s="42"/>
      <c r="M811" s="42"/>
      <c r="Q811" s="42"/>
      <c r="R811" s="45"/>
      <c r="S811" s="45"/>
    </row>
    <row r="812">
      <c r="C812" s="42"/>
      <c r="D812" s="42"/>
      <c r="E812" s="42"/>
      <c r="K812" s="42"/>
      <c r="L812" s="42"/>
      <c r="M812" s="42"/>
      <c r="Q812" s="42"/>
      <c r="R812" s="45"/>
      <c r="S812" s="45"/>
    </row>
    <row r="813">
      <c r="C813" s="42"/>
      <c r="D813" s="42"/>
      <c r="E813" s="42"/>
      <c r="K813" s="42"/>
      <c r="L813" s="42"/>
      <c r="M813" s="42"/>
      <c r="Q813" s="42"/>
      <c r="R813" s="45"/>
      <c r="S813" s="45"/>
    </row>
    <row r="814">
      <c r="C814" s="42"/>
      <c r="D814" s="42"/>
      <c r="E814" s="42"/>
      <c r="K814" s="42"/>
      <c r="L814" s="42"/>
      <c r="M814" s="42"/>
      <c r="Q814" s="42"/>
      <c r="R814" s="45"/>
      <c r="S814" s="45"/>
    </row>
    <row r="815">
      <c r="C815" s="42"/>
      <c r="D815" s="42"/>
      <c r="E815" s="42"/>
      <c r="K815" s="42"/>
      <c r="L815" s="42"/>
      <c r="M815" s="42"/>
      <c r="Q815" s="42"/>
      <c r="R815" s="45"/>
      <c r="S815" s="45"/>
    </row>
    <row r="816">
      <c r="C816" s="42"/>
      <c r="D816" s="42"/>
      <c r="E816" s="42"/>
      <c r="K816" s="42"/>
      <c r="L816" s="42"/>
      <c r="M816" s="42"/>
      <c r="Q816" s="42"/>
      <c r="R816" s="45"/>
      <c r="S816" s="45"/>
    </row>
    <row r="817">
      <c r="C817" s="42"/>
      <c r="D817" s="42"/>
      <c r="E817" s="42"/>
      <c r="K817" s="42"/>
      <c r="L817" s="42"/>
      <c r="M817" s="42"/>
      <c r="Q817" s="42"/>
      <c r="R817" s="45"/>
      <c r="S817" s="45"/>
    </row>
    <row r="818">
      <c r="C818" s="42"/>
      <c r="D818" s="42"/>
      <c r="E818" s="42"/>
      <c r="K818" s="42"/>
      <c r="L818" s="42"/>
      <c r="M818" s="42"/>
      <c r="Q818" s="42"/>
      <c r="R818" s="45"/>
      <c r="S818" s="45"/>
    </row>
    <row r="819">
      <c r="C819" s="42"/>
      <c r="D819" s="42"/>
      <c r="E819" s="42"/>
      <c r="K819" s="42"/>
      <c r="L819" s="42"/>
      <c r="M819" s="42"/>
      <c r="Q819" s="42"/>
      <c r="R819" s="45"/>
      <c r="S819" s="45"/>
    </row>
    <row r="820">
      <c r="C820" s="42"/>
      <c r="D820" s="42"/>
      <c r="E820" s="42"/>
      <c r="K820" s="42"/>
      <c r="L820" s="42"/>
      <c r="M820" s="42"/>
      <c r="Q820" s="42"/>
      <c r="R820" s="45"/>
      <c r="S820" s="45"/>
    </row>
    <row r="821">
      <c r="C821" s="42"/>
      <c r="D821" s="42"/>
      <c r="E821" s="42"/>
      <c r="K821" s="42"/>
      <c r="L821" s="42"/>
      <c r="M821" s="42"/>
      <c r="Q821" s="42"/>
      <c r="R821" s="45"/>
      <c r="S821" s="45"/>
    </row>
    <row r="822">
      <c r="C822" s="42"/>
      <c r="D822" s="42"/>
      <c r="E822" s="42"/>
      <c r="K822" s="42"/>
      <c r="L822" s="42"/>
      <c r="M822" s="42"/>
      <c r="Q822" s="42"/>
      <c r="R822" s="45"/>
      <c r="S822" s="45"/>
    </row>
    <row r="823">
      <c r="C823" s="42"/>
      <c r="D823" s="42"/>
      <c r="E823" s="42"/>
      <c r="K823" s="42"/>
      <c r="L823" s="42"/>
      <c r="M823" s="42"/>
      <c r="Q823" s="42"/>
      <c r="R823" s="45"/>
      <c r="S823" s="45"/>
    </row>
    <row r="824">
      <c r="C824" s="42"/>
      <c r="D824" s="42"/>
      <c r="E824" s="42"/>
      <c r="K824" s="42"/>
      <c r="L824" s="42"/>
      <c r="M824" s="42"/>
      <c r="Q824" s="42"/>
      <c r="R824" s="45"/>
      <c r="S824" s="45"/>
    </row>
    <row r="825">
      <c r="C825" s="42"/>
      <c r="D825" s="42"/>
      <c r="E825" s="42"/>
      <c r="K825" s="42"/>
      <c r="L825" s="42"/>
      <c r="M825" s="42"/>
      <c r="Q825" s="42"/>
      <c r="R825" s="45"/>
      <c r="S825" s="45"/>
    </row>
    <row r="826">
      <c r="C826" s="42"/>
      <c r="D826" s="42"/>
      <c r="E826" s="42"/>
      <c r="K826" s="42"/>
      <c r="L826" s="42"/>
      <c r="M826" s="42"/>
      <c r="Q826" s="42"/>
      <c r="R826" s="45"/>
      <c r="S826" s="45"/>
    </row>
    <row r="827">
      <c r="C827" s="42"/>
      <c r="D827" s="42"/>
      <c r="E827" s="42"/>
      <c r="K827" s="42"/>
      <c r="L827" s="42"/>
      <c r="M827" s="42"/>
      <c r="Q827" s="42"/>
      <c r="R827" s="45"/>
      <c r="S827" s="45"/>
    </row>
    <row r="828">
      <c r="C828" s="42"/>
      <c r="D828" s="42"/>
      <c r="E828" s="42"/>
      <c r="K828" s="42"/>
      <c r="L828" s="42"/>
      <c r="M828" s="42"/>
      <c r="Q828" s="42"/>
      <c r="R828" s="45"/>
      <c r="S828" s="45"/>
    </row>
    <row r="829">
      <c r="C829" s="42"/>
      <c r="D829" s="42"/>
      <c r="E829" s="42"/>
      <c r="K829" s="42"/>
      <c r="L829" s="42"/>
      <c r="M829" s="42"/>
      <c r="Q829" s="42"/>
      <c r="R829" s="45"/>
      <c r="S829" s="45"/>
    </row>
    <row r="830">
      <c r="C830" s="42"/>
      <c r="D830" s="42"/>
      <c r="E830" s="42"/>
      <c r="K830" s="42"/>
      <c r="L830" s="42"/>
      <c r="M830" s="42"/>
      <c r="Q830" s="42"/>
      <c r="R830" s="45"/>
      <c r="S830" s="45"/>
    </row>
    <row r="831">
      <c r="C831" s="42"/>
      <c r="D831" s="42"/>
      <c r="E831" s="42"/>
      <c r="K831" s="42"/>
      <c r="L831" s="42"/>
      <c r="M831" s="42"/>
      <c r="Q831" s="42"/>
      <c r="R831" s="45"/>
      <c r="S831" s="45"/>
    </row>
    <row r="832">
      <c r="C832" s="42"/>
      <c r="D832" s="42"/>
      <c r="E832" s="42"/>
      <c r="K832" s="42"/>
      <c r="L832" s="42"/>
      <c r="M832" s="42"/>
      <c r="Q832" s="42"/>
      <c r="R832" s="45"/>
      <c r="S832" s="45"/>
    </row>
    <row r="833">
      <c r="C833" s="42"/>
      <c r="D833" s="42"/>
      <c r="E833" s="42"/>
      <c r="K833" s="42"/>
      <c r="L833" s="42"/>
      <c r="M833" s="42"/>
      <c r="Q833" s="42"/>
      <c r="R833" s="45"/>
      <c r="S833" s="45"/>
    </row>
    <row r="834">
      <c r="C834" s="42"/>
      <c r="D834" s="42"/>
      <c r="E834" s="42"/>
      <c r="K834" s="42"/>
      <c r="L834" s="42"/>
      <c r="M834" s="42"/>
      <c r="Q834" s="42"/>
      <c r="R834" s="45"/>
      <c r="S834" s="45"/>
    </row>
    <row r="835">
      <c r="C835" s="42"/>
      <c r="D835" s="42"/>
      <c r="E835" s="42"/>
      <c r="K835" s="42"/>
      <c r="L835" s="42"/>
      <c r="M835" s="42"/>
      <c r="Q835" s="42"/>
      <c r="R835" s="45"/>
      <c r="S835" s="45"/>
    </row>
    <row r="836">
      <c r="C836" s="42"/>
      <c r="D836" s="42"/>
      <c r="E836" s="42"/>
      <c r="K836" s="42"/>
      <c r="L836" s="42"/>
      <c r="M836" s="42"/>
      <c r="Q836" s="42"/>
      <c r="R836" s="45"/>
      <c r="S836" s="45"/>
    </row>
    <row r="837">
      <c r="C837" s="42"/>
      <c r="D837" s="42"/>
      <c r="E837" s="42"/>
      <c r="K837" s="42"/>
      <c r="L837" s="42"/>
      <c r="M837" s="42"/>
      <c r="Q837" s="42"/>
      <c r="R837" s="45"/>
      <c r="S837" s="45"/>
    </row>
    <row r="838">
      <c r="C838" s="42"/>
      <c r="D838" s="42"/>
      <c r="E838" s="42"/>
      <c r="K838" s="42"/>
      <c r="L838" s="42"/>
      <c r="M838" s="42"/>
      <c r="Q838" s="42"/>
      <c r="R838" s="45"/>
      <c r="S838" s="45"/>
    </row>
    <row r="839">
      <c r="C839" s="42"/>
      <c r="D839" s="42"/>
      <c r="E839" s="42"/>
      <c r="K839" s="42"/>
      <c r="L839" s="42"/>
      <c r="M839" s="42"/>
      <c r="Q839" s="42"/>
      <c r="R839" s="45"/>
      <c r="S839" s="45"/>
    </row>
    <row r="840">
      <c r="C840" s="42"/>
      <c r="D840" s="42"/>
      <c r="E840" s="42"/>
      <c r="K840" s="42"/>
      <c r="L840" s="42"/>
      <c r="M840" s="42"/>
      <c r="Q840" s="42"/>
      <c r="R840" s="45"/>
      <c r="S840" s="45"/>
    </row>
    <row r="841">
      <c r="C841" s="42"/>
      <c r="D841" s="42"/>
      <c r="E841" s="42"/>
      <c r="K841" s="42"/>
      <c r="L841" s="42"/>
      <c r="M841" s="42"/>
      <c r="Q841" s="42"/>
      <c r="R841" s="45"/>
      <c r="S841" s="45"/>
    </row>
    <row r="842">
      <c r="C842" s="42"/>
      <c r="D842" s="42"/>
      <c r="E842" s="42"/>
      <c r="K842" s="42"/>
      <c r="L842" s="42"/>
      <c r="M842" s="42"/>
      <c r="Q842" s="42"/>
      <c r="R842" s="45"/>
      <c r="S842" s="45"/>
    </row>
    <row r="843">
      <c r="C843" s="42"/>
      <c r="D843" s="42"/>
      <c r="E843" s="42"/>
      <c r="K843" s="42"/>
      <c r="L843" s="42"/>
      <c r="M843" s="42"/>
      <c r="Q843" s="42"/>
      <c r="R843" s="45"/>
      <c r="S843" s="45"/>
    </row>
    <row r="844">
      <c r="C844" s="42"/>
      <c r="D844" s="42"/>
      <c r="E844" s="42"/>
      <c r="K844" s="42"/>
      <c r="L844" s="42"/>
      <c r="M844" s="42"/>
      <c r="Q844" s="42"/>
      <c r="R844" s="45"/>
      <c r="S844" s="45"/>
    </row>
    <row r="845">
      <c r="C845" s="42"/>
      <c r="D845" s="42"/>
      <c r="E845" s="42"/>
      <c r="K845" s="42"/>
      <c r="L845" s="42"/>
      <c r="M845" s="42"/>
      <c r="Q845" s="42"/>
      <c r="R845" s="45"/>
      <c r="S845" s="45"/>
    </row>
    <row r="846">
      <c r="C846" s="42"/>
      <c r="D846" s="42"/>
      <c r="E846" s="42"/>
      <c r="K846" s="42"/>
      <c r="L846" s="42"/>
      <c r="M846" s="42"/>
      <c r="Q846" s="42"/>
      <c r="R846" s="45"/>
      <c r="S846" s="45"/>
    </row>
    <row r="847">
      <c r="C847" s="42"/>
      <c r="D847" s="42"/>
      <c r="E847" s="42"/>
      <c r="K847" s="42"/>
      <c r="L847" s="42"/>
      <c r="M847" s="42"/>
      <c r="Q847" s="42"/>
      <c r="R847" s="45"/>
      <c r="S847" s="45"/>
    </row>
    <row r="848">
      <c r="C848" s="42"/>
      <c r="D848" s="42"/>
      <c r="E848" s="42"/>
      <c r="K848" s="42"/>
      <c r="L848" s="42"/>
      <c r="M848" s="42"/>
      <c r="Q848" s="42"/>
      <c r="R848" s="45"/>
      <c r="S848" s="45"/>
    </row>
    <row r="849">
      <c r="C849" s="42"/>
      <c r="D849" s="42"/>
      <c r="E849" s="42"/>
      <c r="K849" s="42"/>
      <c r="L849" s="42"/>
      <c r="M849" s="42"/>
      <c r="Q849" s="42"/>
      <c r="R849" s="45"/>
      <c r="S849" s="45"/>
    </row>
    <row r="850">
      <c r="C850" s="42"/>
      <c r="D850" s="42"/>
      <c r="E850" s="42"/>
      <c r="K850" s="42"/>
      <c r="L850" s="42"/>
      <c r="M850" s="42"/>
      <c r="Q850" s="42"/>
      <c r="R850" s="45"/>
      <c r="S850" s="45"/>
    </row>
    <row r="851">
      <c r="C851" s="42"/>
      <c r="D851" s="42"/>
      <c r="E851" s="42"/>
      <c r="K851" s="42"/>
      <c r="L851" s="42"/>
      <c r="M851" s="42"/>
      <c r="Q851" s="42"/>
      <c r="R851" s="45"/>
      <c r="S851" s="45"/>
    </row>
    <row r="852">
      <c r="C852" s="42"/>
      <c r="D852" s="42"/>
      <c r="E852" s="42"/>
      <c r="K852" s="42"/>
      <c r="L852" s="42"/>
      <c r="M852" s="42"/>
      <c r="Q852" s="42"/>
      <c r="R852" s="45"/>
      <c r="S852" s="45"/>
    </row>
    <row r="853">
      <c r="C853" s="42"/>
      <c r="D853" s="42"/>
      <c r="E853" s="42"/>
      <c r="K853" s="42"/>
      <c r="L853" s="42"/>
      <c r="M853" s="42"/>
      <c r="Q853" s="42"/>
      <c r="R853" s="45"/>
      <c r="S853" s="45"/>
    </row>
    <row r="854">
      <c r="C854" s="42"/>
      <c r="D854" s="42"/>
      <c r="E854" s="42"/>
      <c r="K854" s="42"/>
      <c r="L854" s="42"/>
      <c r="M854" s="42"/>
      <c r="Q854" s="42"/>
      <c r="R854" s="45"/>
      <c r="S854" s="45"/>
    </row>
    <row r="855">
      <c r="C855" s="42"/>
      <c r="D855" s="42"/>
      <c r="E855" s="42"/>
      <c r="K855" s="42"/>
      <c r="L855" s="42"/>
      <c r="M855" s="42"/>
      <c r="Q855" s="42"/>
      <c r="R855" s="45"/>
      <c r="S855" s="45"/>
    </row>
    <row r="856">
      <c r="C856" s="42"/>
      <c r="D856" s="42"/>
      <c r="E856" s="42"/>
      <c r="K856" s="42"/>
      <c r="L856" s="42"/>
      <c r="M856" s="42"/>
      <c r="Q856" s="42"/>
      <c r="R856" s="45"/>
      <c r="S856" s="45"/>
    </row>
    <row r="857">
      <c r="C857" s="42"/>
      <c r="D857" s="42"/>
      <c r="E857" s="42"/>
      <c r="K857" s="42"/>
      <c r="L857" s="42"/>
      <c r="M857" s="42"/>
      <c r="Q857" s="42"/>
      <c r="R857" s="45"/>
      <c r="S857" s="45"/>
    </row>
    <row r="858">
      <c r="C858" s="42"/>
      <c r="D858" s="42"/>
      <c r="E858" s="42"/>
      <c r="K858" s="42"/>
      <c r="L858" s="42"/>
      <c r="M858" s="42"/>
      <c r="Q858" s="42"/>
      <c r="R858" s="45"/>
      <c r="S858" s="45"/>
    </row>
    <row r="859">
      <c r="C859" s="42"/>
      <c r="D859" s="42"/>
      <c r="E859" s="42"/>
      <c r="K859" s="42"/>
      <c r="L859" s="42"/>
      <c r="M859" s="42"/>
      <c r="Q859" s="42"/>
      <c r="R859" s="45"/>
      <c r="S859" s="45"/>
    </row>
    <row r="860">
      <c r="C860" s="42"/>
      <c r="D860" s="42"/>
      <c r="E860" s="42"/>
      <c r="K860" s="42"/>
      <c r="L860" s="42"/>
      <c r="M860" s="42"/>
      <c r="Q860" s="42"/>
      <c r="R860" s="45"/>
      <c r="S860" s="45"/>
    </row>
    <row r="861">
      <c r="C861" s="42"/>
      <c r="D861" s="42"/>
      <c r="E861" s="42"/>
      <c r="K861" s="42"/>
      <c r="L861" s="42"/>
      <c r="M861" s="42"/>
      <c r="Q861" s="42"/>
      <c r="R861" s="45"/>
      <c r="S861" s="45"/>
    </row>
    <row r="862">
      <c r="C862" s="42"/>
      <c r="D862" s="42"/>
      <c r="E862" s="42"/>
      <c r="K862" s="42"/>
      <c r="L862" s="42"/>
      <c r="M862" s="42"/>
      <c r="Q862" s="42"/>
      <c r="R862" s="45"/>
      <c r="S862" s="45"/>
    </row>
    <row r="863">
      <c r="C863" s="42"/>
      <c r="D863" s="42"/>
      <c r="E863" s="42"/>
      <c r="K863" s="42"/>
      <c r="L863" s="42"/>
      <c r="M863" s="42"/>
      <c r="Q863" s="42"/>
      <c r="R863" s="45"/>
      <c r="S863" s="45"/>
    </row>
    <row r="864">
      <c r="C864" s="42"/>
      <c r="D864" s="42"/>
      <c r="E864" s="42"/>
      <c r="K864" s="42"/>
      <c r="L864" s="42"/>
      <c r="M864" s="42"/>
      <c r="Q864" s="42"/>
      <c r="R864" s="45"/>
      <c r="S864" s="45"/>
    </row>
    <row r="865">
      <c r="C865" s="42"/>
      <c r="D865" s="42"/>
      <c r="E865" s="42"/>
      <c r="K865" s="42"/>
      <c r="L865" s="42"/>
      <c r="M865" s="42"/>
      <c r="Q865" s="42"/>
      <c r="R865" s="45"/>
      <c r="S865" s="45"/>
    </row>
    <row r="866">
      <c r="C866" s="42"/>
      <c r="D866" s="42"/>
      <c r="E866" s="42"/>
      <c r="K866" s="42"/>
      <c r="L866" s="42"/>
      <c r="M866" s="42"/>
      <c r="Q866" s="42"/>
      <c r="R866" s="45"/>
      <c r="S866" s="45"/>
    </row>
    <row r="867">
      <c r="C867" s="42"/>
      <c r="D867" s="42"/>
      <c r="E867" s="42"/>
      <c r="K867" s="42"/>
      <c r="L867" s="42"/>
      <c r="M867" s="42"/>
      <c r="Q867" s="42"/>
      <c r="R867" s="45"/>
      <c r="S867" s="45"/>
    </row>
    <row r="868">
      <c r="C868" s="42"/>
      <c r="D868" s="42"/>
      <c r="E868" s="42"/>
      <c r="K868" s="42"/>
      <c r="L868" s="42"/>
      <c r="M868" s="42"/>
      <c r="Q868" s="42"/>
      <c r="R868" s="45"/>
      <c r="S868" s="45"/>
    </row>
    <row r="869">
      <c r="C869" s="42"/>
      <c r="D869" s="42"/>
      <c r="E869" s="42"/>
      <c r="K869" s="42"/>
      <c r="L869" s="42"/>
      <c r="M869" s="42"/>
      <c r="Q869" s="42"/>
      <c r="R869" s="45"/>
      <c r="S869" s="45"/>
    </row>
    <row r="870">
      <c r="C870" s="42"/>
      <c r="D870" s="42"/>
      <c r="E870" s="42"/>
      <c r="K870" s="42"/>
      <c r="L870" s="42"/>
      <c r="M870" s="42"/>
      <c r="Q870" s="42"/>
      <c r="R870" s="45"/>
      <c r="S870" s="45"/>
    </row>
    <row r="871">
      <c r="C871" s="42"/>
      <c r="D871" s="42"/>
      <c r="E871" s="42"/>
      <c r="K871" s="42"/>
      <c r="L871" s="42"/>
      <c r="M871" s="42"/>
      <c r="Q871" s="42"/>
      <c r="R871" s="45"/>
      <c r="S871" s="45"/>
    </row>
    <row r="872">
      <c r="C872" s="42"/>
      <c r="D872" s="42"/>
      <c r="E872" s="42"/>
      <c r="K872" s="42"/>
      <c r="L872" s="42"/>
      <c r="M872" s="42"/>
      <c r="Q872" s="42"/>
      <c r="R872" s="45"/>
      <c r="S872" s="45"/>
    </row>
    <row r="873">
      <c r="C873" s="42"/>
      <c r="D873" s="42"/>
      <c r="E873" s="42"/>
      <c r="K873" s="42"/>
      <c r="L873" s="42"/>
      <c r="M873" s="42"/>
      <c r="Q873" s="42"/>
      <c r="R873" s="45"/>
      <c r="S873" s="45"/>
    </row>
    <row r="874">
      <c r="C874" s="42"/>
      <c r="D874" s="42"/>
      <c r="E874" s="42"/>
      <c r="K874" s="42"/>
      <c r="L874" s="42"/>
      <c r="M874" s="42"/>
      <c r="Q874" s="42"/>
      <c r="R874" s="45"/>
      <c r="S874" s="45"/>
    </row>
    <row r="875">
      <c r="C875" s="42"/>
      <c r="D875" s="42"/>
      <c r="E875" s="42"/>
      <c r="K875" s="42"/>
      <c r="L875" s="42"/>
      <c r="M875" s="42"/>
      <c r="Q875" s="42"/>
      <c r="R875" s="45"/>
      <c r="S875" s="45"/>
    </row>
    <row r="876">
      <c r="C876" s="42"/>
      <c r="D876" s="42"/>
      <c r="E876" s="42"/>
      <c r="K876" s="42"/>
      <c r="L876" s="42"/>
      <c r="M876" s="42"/>
      <c r="Q876" s="42"/>
      <c r="R876" s="45"/>
      <c r="S876" s="45"/>
    </row>
    <row r="877">
      <c r="C877" s="42"/>
      <c r="D877" s="42"/>
      <c r="E877" s="42"/>
      <c r="K877" s="42"/>
      <c r="L877" s="42"/>
      <c r="M877" s="42"/>
      <c r="Q877" s="42"/>
      <c r="R877" s="45"/>
      <c r="S877" s="45"/>
    </row>
    <row r="878">
      <c r="C878" s="42"/>
      <c r="D878" s="42"/>
      <c r="E878" s="42"/>
      <c r="K878" s="42"/>
      <c r="L878" s="42"/>
      <c r="M878" s="42"/>
      <c r="Q878" s="42"/>
      <c r="R878" s="45"/>
      <c r="S878" s="45"/>
    </row>
    <row r="879">
      <c r="C879" s="42"/>
      <c r="D879" s="42"/>
      <c r="E879" s="42"/>
      <c r="K879" s="42"/>
      <c r="L879" s="42"/>
      <c r="M879" s="42"/>
      <c r="Q879" s="42"/>
      <c r="R879" s="45"/>
      <c r="S879" s="45"/>
    </row>
    <row r="880">
      <c r="C880" s="42"/>
      <c r="D880" s="42"/>
      <c r="E880" s="42"/>
      <c r="K880" s="42"/>
      <c r="L880" s="42"/>
      <c r="M880" s="42"/>
      <c r="Q880" s="42"/>
      <c r="R880" s="45"/>
      <c r="S880" s="45"/>
    </row>
    <row r="881">
      <c r="C881" s="42"/>
      <c r="D881" s="42"/>
      <c r="E881" s="42"/>
      <c r="K881" s="42"/>
      <c r="L881" s="42"/>
      <c r="M881" s="42"/>
      <c r="Q881" s="42"/>
      <c r="R881" s="45"/>
      <c r="S881" s="45"/>
    </row>
    <row r="882">
      <c r="C882" s="42"/>
      <c r="D882" s="42"/>
      <c r="E882" s="42"/>
      <c r="K882" s="42"/>
      <c r="L882" s="42"/>
      <c r="M882" s="42"/>
      <c r="Q882" s="42"/>
      <c r="R882" s="45"/>
      <c r="S882" s="45"/>
    </row>
    <row r="883">
      <c r="C883" s="42"/>
      <c r="D883" s="42"/>
      <c r="E883" s="42"/>
      <c r="K883" s="42"/>
      <c r="L883" s="42"/>
      <c r="M883" s="42"/>
      <c r="Q883" s="42"/>
      <c r="R883" s="45"/>
      <c r="S883" s="45"/>
    </row>
    <row r="884">
      <c r="C884" s="42"/>
      <c r="D884" s="42"/>
      <c r="E884" s="42"/>
      <c r="K884" s="42"/>
      <c r="L884" s="42"/>
      <c r="M884" s="42"/>
      <c r="Q884" s="42"/>
      <c r="R884" s="45"/>
      <c r="S884" s="45"/>
    </row>
    <row r="885">
      <c r="C885" s="42"/>
      <c r="D885" s="42"/>
      <c r="E885" s="42"/>
      <c r="K885" s="42"/>
      <c r="L885" s="42"/>
      <c r="M885" s="42"/>
      <c r="Q885" s="42"/>
      <c r="R885" s="45"/>
      <c r="S885" s="45"/>
    </row>
    <row r="886">
      <c r="C886" s="42"/>
      <c r="D886" s="42"/>
      <c r="E886" s="42"/>
      <c r="K886" s="42"/>
      <c r="L886" s="42"/>
      <c r="M886" s="42"/>
      <c r="Q886" s="42"/>
      <c r="R886" s="45"/>
      <c r="S886" s="45"/>
    </row>
    <row r="887">
      <c r="C887" s="42"/>
      <c r="D887" s="42"/>
      <c r="E887" s="42"/>
      <c r="K887" s="42"/>
      <c r="L887" s="42"/>
      <c r="M887" s="42"/>
      <c r="Q887" s="42"/>
      <c r="R887" s="45"/>
      <c r="S887" s="45"/>
    </row>
    <row r="888">
      <c r="C888" s="42"/>
      <c r="D888" s="42"/>
      <c r="E888" s="42"/>
      <c r="K888" s="42"/>
      <c r="L888" s="42"/>
      <c r="M888" s="42"/>
      <c r="Q888" s="42"/>
      <c r="R888" s="45"/>
      <c r="S888" s="45"/>
    </row>
    <row r="889">
      <c r="C889" s="42"/>
      <c r="D889" s="42"/>
      <c r="E889" s="42"/>
      <c r="K889" s="42"/>
      <c r="L889" s="42"/>
      <c r="M889" s="42"/>
      <c r="Q889" s="42"/>
      <c r="R889" s="45"/>
      <c r="S889" s="45"/>
    </row>
    <row r="890">
      <c r="C890" s="42"/>
      <c r="D890" s="42"/>
      <c r="E890" s="42"/>
      <c r="K890" s="42"/>
      <c r="L890" s="42"/>
      <c r="M890" s="42"/>
      <c r="Q890" s="42"/>
      <c r="R890" s="45"/>
      <c r="S890" s="45"/>
    </row>
    <row r="891">
      <c r="C891" s="42"/>
      <c r="D891" s="42"/>
      <c r="E891" s="42"/>
      <c r="K891" s="42"/>
      <c r="L891" s="42"/>
      <c r="M891" s="42"/>
      <c r="Q891" s="42"/>
      <c r="R891" s="45"/>
      <c r="S891" s="45"/>
    </row>
    <row r="892">
      <c r="C892" s="42"/>
      <c r="D892" s="42"/>
      <c r="E892" s="42"/>
      <c r="K892" s="42"/>
      <c r="L892" s="42"/>
      <c r="M892" s="42"/>
      <c r="Q892" s="42"/>
      <c r="R892" s="45"/>
      <c r="S892" s="45"/>
    </row>
    <row r="893">
      <c r="C893" s="42"/>
      <c r="D893" s="42"/>
      <c r="E893" s="42"/>
      <c r="K893" s="42"/>
      <c r="L893" s="42"/>
      <c r="M893" s="42"/>
      <c r="Q893" s="42"/>
      <c r="R893" s="45"/>
      <c r="S893" s="45"/>
    </row>
    <row r="894">
      <c r="C894" s="42"/>
      <c r="D894" s="42"/>
      <c r="E894" s="42"/>
      <c r="K894" s="42"/>
      <c r="L894" s="42"/>
      <c r="M894" s="42"/>
      <c r="Q894" s="42"/>
      <c r="R894" s="45"/>
      <c r="S894" s="45"/>
    </row>
    <row r="895">
      <c r="C895" s="42"/>
      <c r="D895" s="42"/>
      <c r="E895" s="42"/>
      <c r="K895" s="42"/>
      <c r="L895" s="42"/>
      <c r="M895" s="42"/>
      <c r="Q895" s="42"/>
      <c r="R895" s="45"/>
      <c r="S895" s="45"/>
    </row>
    <row r="896">
      <c r="C896" s="42"/>
      <c r="D896" s="42"/>
      <c r="E896" s="42"/>
      <c r="K896" s="42"/>
      <c r="L896" s="42"/>
      <c r="M896" s="42"/>
      <c r="Q896" s="42"/>
      <c r="R896" s="45"/>
      <c r="S896" s="45"/>
    </row>
    <row r="897">
      <c r="C897" s="42"/>
      <c r="D897" s="42"/>
      <c r="E897" s="42"/>
      <c r="K897" s="42"/>
      <c r="L897" s="42"/>
      <c r="M897" s="42"/>
      <c r="Q897" s="42"/>
      <c r="R897" s="45"/>
      <c r="S897" s="45"/>
    </row>
    <row r="898">
      <c r="C898" s="42"/>
      <c r="D898" s="42"/>
      <c r="E898" s="42"/>
      <c r="K898" s="42"/>
      <c r="L898" s="42"/>
      <c r="M898" s="42"/>
      <c r="Q898" s="42"/>
      <c r="R898" s="45"/>
      <c r="S898" s="45"/>
    </row>
    <row r="899">
      <c r="C899" s="42"/>
      <c r="D899" s="42"/>
      <c r="E899" s="42"/>
      <c r="K899" s="42"/>
      <c r="L899" s="42"/>
      <c r="M899" s="42"/>
      <c r="Q899" s="42"/>
      <c r="R899" s="45"/>
      <c r="S899" s="45"/>
    </row>
    <row r="900">
      <c r="C900" s="42"/>
      <c r="D900" s="42"/>
      <c r="E900" s="42"/>
      <c r="K900" s="42"/>
      <c r="L900" s="42"/>
      <c r="M900" s="42"/>
      <c r="Q900" s="42"/>
      <c r="R900" s="45"/>
      <c r="S900" s="45"/>
    </row>
    <row r="901">
      <c r="C901" s="42"/>
      <c r="D901" s="42"/>
      <c r="E901" s="42"/>
      <c r="K901" s="42"/>
      <c r="L901" s="42"/>
      <c r="M901" s="42"/>
      <c r="Q901" s="42"/>
      <c r="R901" s="45"/>
      <c r="S901" s="45"/>
    </row>
    <row r="902">
      <c r="C902" s="42"/>
      <c r="D902" s="42"/>
      <c r="E902" s="42"/>
      <c r="K902" s="42"/>
      <c r="L902" s="42"/>
      <c r="M902" s="42"/>
      <c r="Q902" s="42"/>
      <c r="R902" s="45"/>
      <c r="S902" s="45"/>
    </row>
    <row r="903">
      <c r="C903" s="42"/>
      <c r="D903" s="42"/>
      <c r="E903" s="42"/>
      <c r="K903" s="42"/>
      <c r="L903" s="42"/>
      <c r="M903" s="42"/>
      <c r="Q903" s="42"/>
      <c r="R903" s="45"/>
      <c r="S903" s="45"/>
    </row>
    <row r="904">
      <c r="C904" s="42"/>
      <c r="D904" s="42"/>
      <c r="E904" s="42"/>
      <c r="K904" s="42"/>
      <c r="L904" s="42"/>
      <c r="M904" s="42"/>
      <c r="Q904" s="42"/>
      <c r="R904" s="45"/>
      <c r="S904" s="45"/>
    </row>
    <row r="905">
      <c r="C905" s="42"/>
      <c r="D905" s="42"/>
      <c r="E905" s="42"/>
      <c r="K905" s="42"/>
      <c r="L905" s="42"/>
      <c r="M905" s="42"/>
      <c r="Q905" s="42"/>
      <c r="R905" s="45"/>
      <c r="S905" s="45"/>
    </row>
    <row r="906">
      <c r="C906" s="42"/>
      <c r="D906" s="42"/>
      <c r="E906" s="42"/>
      <c r="K906" s="42"/>
      <c r="L906" s="42"/>
      <c r="M906" s="42"/>
      <c r="Q906" s="42"/>
      <c r="R906" s="45"/>
      <c r="S906" s="45"/>
    </row>
    <row r="907">
      <c r="C907" s="42"/>
      <c r="D907" s="42"/>
      <c r="E907" s="42"/>
      <c r="K907" s="42"/>
      <c r="L907" s="42"/>
      <c r="M907" s="42"/>
      <c r="Q907" s="42"/>
      <c r="R907" s="45"/>
      <c r="S907" s="45"/>
    </row>
    <row r="908">
      <c r="C908" s="42"/>
      <c r="D908" s="42"/>
      <c r="E908" s="42"/>
      <c r="K908" s="42"/>
      <c r="L908" s="42"/>
      <c r="M908" s="42"/>
      <c r="Q908" s="42"/>
      <c r="R908" s="45"/>
      <c r="S908" s="45"/>
    </row>
    <row r="909">
      <c r="C909" s="42"/>
      <c r="D909" s="42"/>
      <c r="E909" s="42"/>
      <c r="K909" s="42"/>
      <c r="L909" s="42"/>
      <c r="M909" s="42"/>
      <c r="Q909" s="42"/>
      <c r="R909" s="45"/>
      <c r="S909" s="45"/>
    </row>
    <row r="910">
      <c r="C910" s="42"/>
      <c r="D910" s="42"/>
      <c r="E910" s="42"/>
      <c r="K910" s="42"/>
      <c r="L910" s="42"/>
      <c r="M910" s="42"/>
      <c r="Q910" s="42"/>
      <c r="R910" s="45"/>
      <c r="S910" s="45"/>
    </row>
    <row r="911">
      <c r="C911" s="42"/>
      <c r="D911" s="42"/>
      <c r="E911" s="42"/>
      <c r="K911" s="42"/>
      <c r="L911" s="42"/>
      <c r="M911" s="42"/>
      <c r="Q911" s="42"/>
      <c r="R911" s="45"/>
      <c r="S911" s="45"/>
    </row>
    <row r="912">
      <c r="C912" s="42"/>
      <c r="D912" s="42"/>
      <c r="E912" s="42"/>
      <c r="K912" s="42"/>
      <c r="L912" s="42"/>
      <c r="M912" s="42"/>
      <c r="Q912" s="42"/>
      <c r="R912" s="45"/>
      <c r="S912" s="45"/>
    </row>
    <row r="913">
      <c r="C913" s="42"/>
      <c r="D913" s="42"/>
      <c r="E913" s="42"/>
      <c r="K913" s="42"/>
      <c r="L913" s="42"/>
      <c r="M913" s="42"/>
      <c r="Q913" s="42"/>
      <c r="R913" s="45"/>
      <c r="S913" s="45"/>
    </row>
    <row r="914">
      <c r="C914" s="42"/>
      <c r="D914" s="42"/>
      <c r="E914" s="42"/>
      <c r="K914" s="42"/>
      <c r="L914" s="42"/>
      <c r="M914" s="42"/>
      <c r="Q914" s="42"/>
      <c r="R914" s="45"/>
      <c r="S914" s="45"/>
    </row>
    <row r="915">
      <c r="C915" s="42"/>
      <c r="D915" s="42"/>
      <c r="E915" s="42"/>
      <c r="K915" s="42"/>
      <c r="L915" s="42"/>
      <c r="M915" s="42"/>
      <c r="Q915" s="42"/>
      <c r="R915" s="45"/>
      <c r="S915" s="45"/>
    </row>
  </sheetData>
  <mergeCells count="10">
    <mergeCell ref="P2:P3"/>
    <mergeCell ref="Q2:Q3"/>
    <mergeCell ref="R2:T2"/>
    <mergeCell ref="B2:B3"/>
    <mergeCell ref="C2:C3"/>
    <mergeCell ref="D2:D3"/>
    <mergeCell ref="E2:E3"/>
    <mergeCell ref="F2:J2"/>
    <mergeCell ref="L2:N2"/>
    <mergeCell ref="O2:O3"/>
  </mergeCells>
  <conditionalFormatting sqref="U1:U915">
    <cfRule type="cellIs" dxfId="0" priority="1" operator="lessThanOrEqual">
      <formula>6</formula>
    </cfRule>
  </conditionalFormatting>
  <conditionalFormatting sqref="U4:U50">
    <cfRule type="cellIs" dxfId="1" priority="2" operator="between">
      <formula>7</formula>
      <formula>12</formula>
    </cfRule>
  </conditionalFormatting>
  <conditionalFormatting sqref="U4:U50">
    <cfRule type="cellIs" dxfId="2" priority="3" operator="between">
      <formula>13</formula>
      <formula>19</formula>
    </cfRule>
  </conditionalFormatting>
  <conditionalFormatting sqref="U4:U50">
    <cfRule type="cellIs" dxfId="3" priority="4" operator="greaterThanOrEqual">
      <formula>20</formula>
    </cfRule>
  </conditionalFormatting>
  <conditionalFormatting sqref="O4:O50">
    <cfRule type="cellIs" dxfId="0" priority="5" operator="lessThanOrEqual">
      <formula>6</formula>
    </cfRule>
  </conditionalFormatting>
  <conditionalFormatting sqref="O4:O50">
    <cfRule type="cellIs" dxfId="1" priority="6" operator="between">
      <formula>7</formula>
      <formula>12</formula>
    </cfRule>
  </conditionalFormatting>
  <conditionalFormatting sqref="O4:O50">
    <cfRule type="cellIs" dxfId="2" priority="7" operator="between">
      <formula>13</formula>
      <formula>19</formula>
    </cfRule>
  </conditionalFormatting>
  <conditionalFormatting sqref="O4:O50">
    <cfRule type="cellIs" dxfId="4" priority="8" operator="greaterThanOrEqual">
      <formula>20</formula>
    </cfRule>
  </conditionalFormatting>
  <dataValidations>
    <dataValidation type="list" allowBlank="1" showErrorMessage="1" sqref="F4:J50">
      <formula1>"1,2,3,4,5"</formula1>
    </dataValidation>
    <dataValidation type="list" allowBlank="1" showErrorMessage="1" sqref="L4:L50 R4:R50">
      <formula1>"Completely Isolated,Highly Restricted,Restricted Access,Easily Accessible,Publicly Accessible"</formula1>
    </dataValidation>
    <dataValidation type="list" allowBlank="1" showErrorMessage="1" sqref="M4:M50 S4:S50">
      <formula1>"Low,Medium,High,Extreme High,Critical"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206</v>
      </c>
      <c r="B1" s="11"/>
    </row>
    <row r="2">
      <c r="A2" s="49" t="s">
        <v>207</v>
      </c>
      <c r="B2" s="49" t="s">
        <v>7</v>
      </c>
    </row>
    <row r="3">
      <c r="A3" s="31">
        <v>1.0</v>
      </c>
      <c r="B3" s="50">
        <v>1.0</v>
      </c>
    </row>
    <row r="4">
      <c r="A4" s="31">
        <v>2.0</v>
      </c>
      <c r="B4" s="50">
        <v>1.0</v>
      </c>
    </row>
    <row r="5">
      <c r="A5" s="31">
        <v>3.0</v>
      </c>
      <c r="B5" s="50">
        <v>1.0</v>
      </c>
    </row>
    <row r="6">
      <c r="A6" s="31">
        <v>4.0</v>
      </c>
      <c r="B6" s="50">
        <v>1.0</v>
      </c>
    </row>
    <row r="7">
      <c r="A7" s="31">
        <v>5.0</v>
      </c>
      <c r="B7" s="50">
        <v>1.0</v>
      </c>
    </row>
    <row r="8">
      <c r="A8" s="31">
        <v>6.0</v>
      </c>
      <c r="B8" s="50">
        <v>1.0</v>
      </c>
    </row>
    <row r="9">
      <c r="A9" s="31">
        <v>7.0</v>
      </c>
      <c r="B9" s="51">
        <v>2.0</v>
      </c>
    </row>
    <row r="10">
      <c r="A10" s="31">
        <v>8.0</v>
      </c>
      <c r="B10" s="51">
        <v>2.0</v>
      </c>
    </row>
    <row r="11">
      <c r="A11" s="31">
        <v>9.0</v>
      </c>
      <c r="B11" s="51">
        <v>2.0</v>
      </c>
    </row>
    <row r="12">
      <c r="A12" s="31">
        <v>10.0</v>
      </c>
      <c r="B12" s="51">
        <v>2.0</v>
      </c>
    </row>
    <row r="13">
      <c r="A13" s="31">
        <v>11.0</v>
      </c>
      <c r="B13" s="51">
        <v>2.0</v>
      </c>
    </row>
    <row r="14">
      <c r="A14" s="31">
        <v>12.0</v>
      </c>
      <c r="B14" s="51">
        <v>2.0</v>
      </c>
    </row>
    <row r="15">
      <c r="A15" s="31">
        <v>13.0</v>
      </c>
      <c r="B15" s="52">
        <v>3.0</v>
      </c>
    </row>
    <row r="16">
      <c r="A16" s="31">
        <v>14.0</v>
      </c>
      <c r="B16" s="52">
        <v>3.0</v>
      </c>
    </row>
    <row r="17">
      <c r="A17" s="31">
        <v>15.0</v>
      </c>
      <c r="B17" s="52">
        <v>3.0</v>
      </c>
    </row>
    <row r="18">
      <c r="A18" s="31">
        <v>16.0</v>
      </c>
      <c r="B18" s="52">
        <v>3.0</v>
      </c>
    </row>
    <row r="19">
      <c r="A19" s="31">
        <v>17.0</v>
      </c>
      <c r="B19" s="52">
        <v>3.0</v>
      </c>
    </row>
    <row r="20">
      <c r="A20" s="31">
        <v>18.0</v>
      </c>
      <c r="B20" s="52">
        <v>3.0</v>
      </c>
    </row>
    <row r="21">
      <c r="A21" s="31">
        <v>19.0</v>
      </c>
      <c r="B21" s="52">
        <v>3.0</v>
      </c>
    </row>
    <row r="22">
      <c r="A22" s="31">
        <v>20.0</v>
      </c>
      <c r="B22" s="53">
        <v>4.0</v>
      </c>
    </row>
    <row r="23">
      <c r="A23" s="31">
        <v>21.0</v>
      </c>
      <c r="B23" s="53">
        <v>4.0</v>
      </c>
    </row>
    <row r="24">
      <c r="A24" s="31">
        <v>22.0</v>
      </c>
      <c r="B24" s="53">
        <v>4.0</v>
      </c>
    </row>
    <row r="25">
      <c r="A25" s="31">
        <v>23.0</v>
      </c>
      <c r="B25" s="53">
        <v>4.0</v>
      </c>
    </row>
    <row r="26">
      <c r="A26" s="31">
        <v>24.0</v>
      </c>
      <c r="B26" s="53">
        <v>4.0</v>
      </c>
    </row>
    <row r="27">
      <c r="A27" s="31">
        <v>25.0</v>
      </c>
      <c r="B27" s="53">
        <v>4.0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9.75"/>
  </cols>
  <sheetData>
    <row r="1">
      <c r="A1" s="54" t="s">
        <v>208</v>
      </c>
      <c r="B1" s="55" t="s">
        <v>209</v>
      </c>
    </row>
    <row r="2">
      <c r="A2" s="56" t="s">
        <v>210</v>
      </c>
      <c r="B2" s="31" t="s">
        <v>211</v>
      </c>
    </row>
    <row r="3">
      <c r="A3" s="57"/>
      <c r="B3" s="31" t="s">
        <v>212</v>
      </c>
    </row>
    <row r="4">
      <c r="A4" s="57"/>
      <c r="B4" s="31" t="s">
        <v>213</v>
      </c>
    </row>
    <row r="5">
      <c r="A5" s="57"/>
      <c r="B5" s="31" t="s">
        <v>214</v>
      </c>
    </row>
    <row r="6">
      <c r="A6" s="57"/>
      <c r="B6" s="31" t="s">
        <v>215</v>
      </c>
    </row>
    <row r="7">
      <c r="A7" s="57"/>
      <c r="B7" s="31" t="s">
        <v>216</v>
      </c>
    </row>
    <row r="8">
      <c r="A8" s="19"/>
      <c r="B8" s="31" t="s">
        <v>217</v>
      </c>
    </row>
    <row r="9">
      <c r="A9" s="56" t="s">
        <v>218</v>
      </c>
      <c r="B9" s="31" t="s">
        <v>219</v>
      </c>
    </row>
    <row r="10">
      <c r="A10" s="57"/>
      <c r="B10" s="31" t="s">
        <v>220</v>
      </c>
    </row>
    <row r="11">
      <c r="A11" s="57"/>
      <c r="B11" s="31" t="s">
        <v>221</v>
      </c>
    </row>
    <row r="12">
      <c r="A12" s="57"/>
      <c r="B12" s="31" t="s">
        <v>222</v>
      </c>
    </row>
    <row r="13">
      <c r="A13" s="57"/>
      <c r="B13" s="31" t="s">
        <v>223</v>
      </c>
    </row>
    <row r="14">
      <c r="A14" s="57"/>
      <c r="B14" s="31" t="s">
        <v>224</v>
      </c>
    </row>
    <row r="15">
      <c r="A15" s="57"/>
      <c r="B15" s="31" t="s">
        <v>225</v>
      </c>
    </row>
    <row r="16">
      <c r="A16" s="57"/>
      <c r="B16" s="31" t="s">
        <v>226</v>
      </c>
    </row>
    <row r="17">
      <c r="A17" s="57"/>
      <c r="B17" s="31" t="s">
        <v>227</v>
      </c>
    </row>
    <row r="18">
      <c r="A18" s="57"/>
      <c r="B18" s="31" t="s">
        <v>228</v>
      </c>
    </row>
    <row r="19">
      <c r="A19" s="57"/>
      <c r="B19" s="31" t="s">
        <v>229</v>
      </c>
    </row>
    <row r="20">
      <c r="A20" s="57"/>
      <c r="B20" s="31" t="s">
        <v>230</v>
      </c>
    </row>
    <row r="21">
      <c r="A21" s="57"/>
      <c r="B21" s="31" t="s">
        <v>231</v>
      </c>
    </row>
    <row r="22">
      <c r="A22" s="57"/>
      <c r="B22" s="31" t="s">
        <v>232</v>
      </c>
    </row>
    <row r="23">
      <c r="A23" s="57"/>
      <c r="B23" s="31" t="s">
        <v>233</v>
      </c>
    </row>
    <row r="24">
      <c r="A24" s="57"/>
      <c r="B24" s="31" t="s">
        <v>234</v>
      </c>
    </row>
    <row r="25">
      <c r="A25" s="57"/>
      <c r="B25" s="31" t="s">
        <v>235</v>
      </c>
    </row>
    <row r="26">
      <c r="A26" s="19"/>
      <c r="B26" s="31" t="s">
        <v>236</v>
      </c>
    </row>
    <row r="27">
      <c r="A27" s="56" t="s">
        <v>237</v>
      </c>
      <c r="B27" s="31" t="s">
        <v>238</v>
      </c>
    </row>
    <row r="28">
      <c r="A28" s="57"/>
      <c r="B28" s="31" t="s">
        <v>239</v>
      </c>
    </row>
    <row r="29">
      <c r="A29" s="19"/>
      <c r="B29" s="31" t="s">
        <v>240</v>
      </c>
    </row>
    <row r="30">
      <c r="A30" s="56" t="s">
        <v>241</v>
      </c>
      <c r="B30" s="31" t="s">
        <v>242</v>
      </c>
    </row>
    <row r="31">
      <c r="A31" s="57"/>
      <c r="B31" s="31" t="s">
        <v>243</v>
      </c>
    </row>
    <row r="32">
      <c r="A32" s="57"/>
      <c r="B32" s="31" t="s">
        <v>244</v>
      </c>
    </row>
    <row r="33">
      <c r="A33" s="57"/>
      <c r="B33" s="31" t="s">
        <v>245</v>
      </c>
    </row>
    <row r="34">
      <c r="A34" s="57"/>
      <c r="B34" s="31" t="s">
        <v>246</v>
      </c>
    </row>
    <row r="35">
      <c r="A35" s="57"/>
      <c r="B35" s="31" t="s">
        <v>247</v>
      </c>
    </row>
    <row r="36">
      <c r="A36" s="57"/>
      <c r="B36" s="31" t="s">
        <v>248</v>
      </c>
    </row>
    <row r="37">
      <c r="A37" s="57"/>
      <c r="B37" s="31" t="s">
        <v>249</v>
      </c>
    </row>
    <row r="38">
      <c r="A38" s="57"/>
      <c r="B38" s="31" t="s">
        <v>250</v>
      </c>
    </row>
    <row r="39">
      <c r="A39" s="57"/>
      <c r="B39" s="31" t="s">
        <v>251</v>
      </c>
    </row>
    <row r="40">
      <c r="A40" s="19"/>
      <c r="B40" s="31" t="s">
        <v>252</v>
      </c>
    </row>
    <row r="41">
      <c r="A41" s="56" t="s">
        <v>253</v>
      </c>
      <c r="B41" s="31" t="s">
        <v>254</v>
      </c>
    </row>
    <row r="42">
      <c r="A42" s="57"/>
      <c r="B42" s="31" t="s">
        <v>255</v>
      </c>
    </row>
    <row r="43">
      <c r="A43" s="57"/>
      <c r="B43" s="31" t="s">
        <v>256</v>
      </c>
    </row>
    <row r="44">
      <c r="A44" s="57"/>
      <c r="B44" s="31" t="s">
        <v>257</v>
      </c>
    </row>
    <row r="45">
      <c r="A45" s="57"/>
      <c r="B45" s="31" t="s">
        <v>258</v>
      </c>
    </row>
    <row r="46">
      <c r="A46" s="57"/>
      <c r="B46" s="31" t="s">
        <v>253</v>
      </c>
    </row>
    <row r="47">
      <c r="A47" s="57"/>
      <c r="B47" s="31" t="s">
        <v>259</v>
      </c>
    </row>
    <row r="48">
      <c r="A48" s="57"/>
      <c r="B48" s="31" t="s">
        <v>260</v>
      </c>
    </row>
    <row r="49">
      <c r="A49" s="57"/>
      <c r="B49" s="31" t="s">
        <v>261</v>
      </c>
    </row>
    <row r="50">
      <c r="A50" s="57"/>
      <c r="B50" s="31" t="s">
        <v>262</v>
      </c>
    </row>
    <row r="51">
      <c r="A51" s="57"/>
      <c r="B51" s="31" t="s">
        <v>263</v>
      </c>
    </row>
    <row r="52">
      <c r="A52" s="57"/>
      <c r="B52" s="31" t="s">
        <v>264</v>
      </c>
    </row>
    <row r="53">
      <c r="A53" s="57"/>
      <c r="B53" s="31" t="s">
        <v>265</v>
      </c>
    </row>
    <row r="54">
      <c r="A54" s="57"/>
      <c r="B54" s="31" t="s">
        <v>266</v>
      </c>
    </row>
    <row r="55">
      <c r="A55" s="19"/>
      <c r="B55" s="31" t="s">
        <v>267</v>
      </c>
    </row>
    <row r="56">
      <c r="A56" s="56" t="s">
        <v>268</v>
      </c>
      <c r="B56" s="31" t="s">
        <v>269</v>
      </c>
    </row>
    <row r="57">
      <c r="A57" s="57"/>
      <c r="B57" s="31" t="s">
        <v>270</v>
      </c>
    </row>
    <row r="58">
      <c r="A58" s="57"/>
      <c r="B58" s="31" t="s">
        <v>271</v>
      </c>
    </row>
    <row r="59">
      <c r="A59" s="57"/>
      <c r="B59" s="31" t="s">
        <v>272</v>
      </c>
    </row>
    <row r="60">
      <c r="A60" s="57"/>
      <c r="B60" s="31" t="s">
        <v>273</v>
      </c>
    </row>
    <row r="61">
      <c r="A61" s="57"/>
      <c r="B61" s="31" t="s">
        <v>274</v>
      </c>
    </row>
    <row r="62">
      <c r="A62" s="57"/>
      <c r="B62" s="31" t="s">
        <v>275</v>
      </c>
    </row>
    <row r="63">
      <c r="A63" s="57"/>
      <c r="B63" s="31" t="s">
        <v>276</v>
      </c>
    </row>
    <row r="64">
      <c r="A64" s="57"/>
      <c r="B64" s="31" t="s">
        <v>277</v>
      </c>
    </row>
    <row r="65">
      <c r="A65" s="57"/>
      <c r="B65" s="31" t="s">
        <v>278</v>
      </c>
    </row>
    <row r="66">
      <c r="A66" s="57"/>
      <c r="B66" s="31" t="s">
        <v>279</v>
      </c>
    </row>
    <row r="67">
      <c r="A67" s="57"/>
      <c r="B67" s="31" t="s">
        <v>280</v>
      </c>
    </row>
    <row r="68">
      <c r="A68" s="57"/>
      <c r="B68" s="31" t="s">
        <v>281</v>
      </c>
    </row>
    <row r="69">
      <c r="A69" s="57"/>
      <c r="B69" s="31" t="s">
        <v>282</v>
      </c>
    </row>
    <row r="70">
      <c r="A70" s="57"/>
      <c r="B70" s="31" t="s">
        <v>283</v>
      </c>
    </row>
    <row r="71">
      <c r="A71" s="57"/>
      <c r="B71" s="31" t="s">
        <v>284</v>
      </c>
    </row>
    <row r="72">
      <c r="A72" s="57"/>
      <c r="B72" s="31" t="s">
        <v>285</v>
      </c>
    </row>
    <row r="73">
      <c r="A73" s="57"/>
      <c r="B73" s="31" t="s">
        <v>247</v>
      </c>
    </row>
    <row r="74">
      <c r="A74" s="57"/>
      <c r="B74" s="31" t="s">
        <v>286</v>
      </c>
    </row>
    <row r="75">
      <c r="A75" s="57"/>
      <c r="B75" s="31" t="s">
        <v>287</v>
      </c>
    </row>
    <row r="76">
      <c r="A76" s="57"/>
      <c r="B76" s="31" t="s">
        <v>288</v>
      </c>
    </row>
    <row r="77">
      <c r="A77" s="57"/>
      <c r="B77" s="31" t="s">
        <v>289</v>
      </c>
    </row>
    <row r="78">
      <c r="A78" s="57"/>
      <c r="B78" s="31" t="s">
        <v>290</v>
      </c>
    </row>
    <row r="79">
      <c r="A79" s="57"/>
      <c r="B79" s="31" t="s">
        <v>291</v>
      </c>
    </row>
    <row r="80">
      <c r="A80" s="57"/>
      <c r="B80" s="31" t="s">
        <v>292</v>
      </c>
    </row>
    <row r="81">
      <c r="A81" s="57"/>
      <c r="B81" s="31" t="s">
        <v>293</v>
      </c>
    </row>
    <row r="82">
      <c r="A82" s="57"/>
      <c r="B82" s="31" t="s">
        <v>294</v>
      </c>
    </row>
    <row r="83">
      <c r="A83" s="57"/>
      <c r="B83" s="31" t="s">
        <v>295</v>
      </c>
    </row>
    <row r="84">
      <c r="A84" s="19"/>
      <c r="B84" s="31" t="s">
        <v>296</v>
      </c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  <row r="201">
      <c r="A201" s="58"/>
    </row>
    <row r="202">
      <c r="A202" s="58"/>
    </row>
    <row r="203">
      <c r="A203" s="58"/>
    </row>
    <row r="204">
      <c r="A204" s="58"/>
    </row>
    <row r="205">
      <c r="A205" s="58"/>
    </row>
    <row r="206">
      <c r="A206" s="58"/>
    </row>
    <row r="207">
      <c r="A207" s="58"/>
    </row>
    <row r="208">
      <c r="A208" s="58"/>
    </row>
    <row r="209">
      <c r="A209" s="58"/>
    </row>
    <row r="210">
      <c r="A210" s="58"/>
    </row>
    <row r="211">
      <c r="A211" s="58"/>
    </row>
    <row r="212">
      <c r="A212" s="58"/>
    </row>
    <row r="213">
      <c r="A213" s="58"/>
    </row>
    <row r="214">
      <c r="A214" s="58"/>
    </row>
    <row r="215">
      <c r="A215" s="58"/>
    </row>
    <row r="216">
      <c r="A216" s="58"/>
    </row>
    <row r="217">
      <c r="A217" s="58"/>
    </row>
    <row r="218">
      <c r="A218" s="58"/>
    </row>
    <row r="219">
      <c r="A219" s="58"/>
    </row>
    <row r="220">
      <c r="A220" s="58"/>
    </row>
    <row r="221">
      <c r="A221" s="58"/>
    </row>
    <row r="222">
      <c r="A222" s="58"/>
    </row>
    <row r="223">
      <c r="A223" s="58"/>
    </row>
    <row r="224">
      <c r="A224" s="58"/>
    </row>
    <row r="225">
      <c r="A225" s="58"/>
    </row>
    <row r="226">
      <c r="A226" s="58"/>
    </row>
    <row r="227">
      <c r="A227" s="58"/>
    </row>
    <row r="228">
      <c r="A228" s="58"/>
    </row>
    <row r="229">
      <c r="A229" s="58"/>
    </row>
    <row r="230">
      <c r="A230" s="58"/>
    </row>
    <row r="231">
      <c r="A231" s="58"/>
    </row>
    <row r="232">
      <c r="A232" s="58"/>
    </row>
    <row r="233">
      <c r="A233" s="58"/>
    </row>
    <row r="234">
      <c r="A234" s="58"/>
    </row>
    <row r="235">
      <c r="A235" s="58"/>
    </row>
    <row r="236">
      <c r="A236" s="58"/>
    </row>
    <row r="237">
      <c r="A237" s="58"/>
    </row>
    <row r="238">
      <c r="A238" s="58"/>
    </row>
    <row r="239">
      <c r="A239" s="58"/>
    </row>
    <row r="240">
      <c r="A240" s="58"/>
    </row>
    <row r="241">
      <c r="A241" s="58"/>
    </row>
    <row r="242">
      <c r="A242" s="58"/>
    </row>
    <row r="243">
      <c r="A243" s="58"/>
    </row>
    <row r="244">
      <c r="A244" s="58"/>
    </row>
    <row r="245">
      <c r="A245" s="58"/>
    </row>
    <row r="246">
      <c r="A246" s="58"/>
    </row>
    <row r="247">
      <c r="A247" s="58"/>
    </row>
    <row r="248">
      <c r="A248" s="58"/>
    </row>
    <row r="249">
      <c r="A249" s="58"/>
    </row>
    <row r="250">
      <c r="A250" s="58"/>
    </row>
    <row r="251">
      <c r="A251" s="58"/>
    </row>
    <row r="252">
      <c r="A252" s="58"/>
    </row>
    <row r="253">
      <c r="A253" s="58"/>
    </row>
    <row r="254">
      <c r="A254" s="58"/>
    </row>
    <row r="255">
      <c r="A255" s="58"/>
    </row>
    <row r="256">
      <c r="A256" s="58"/>
    </row>
    <row r="257">
      <c r="A257" s="58"/>
    </row>
    <row r="258">
      <c r="A258" s="58"/>
    </row>
    <row r="259">
      <c r="A259" s="58"/>
    </row>
    <row r="260">
      <c r="A260" s="58"/>
    </row>
    <row r="261">
      <c r="A261" s="58"/>
    </row>
    <row r="262">
      <c r="A262" s="58"/>
    </row>
    <row r="263">
      <c r="A263" s="58"/>
    </row>
    <row r="264">
      <c r="A264" s="58"/>
    </row>
    <row r="265">
      <c r="A265" s="58"/>
    </row>
    <row r="266">
      <c r="A266" s="58"/>
    </row>
    <row r="267">
      <c r="A267" s="58"/>
    </row>
    <row r="268">
      <c r="A268" s="58"/>
    </row>
    <row r="269">
      <c r="A269" s="58"/>
    </row>
    <row r="270">
      <c r="A270" s="58"/>
    </row>
    <row r="271">
      <c r="A271" s="58"/>
    </row>
    <row r="272">
      <c r="A272" s="58"/>
    </row>
    <row r="273">
      <c r="A273" s="58"/>
    </row>
    <row r="274">
      <c r="A274" s="58"/>
    </row>
    <row r="275">
      <c r="A275" s="58"/>
    </row>
    <row r="276">
      <c r="A276" s="58"/>
    </row>
    <row r="277">
      <c r="A277" s="58"/>
    </row>
    <row r="278">
      <c r="A278" s="58"/>
    </row>
    <row r="279">
      <c r="A279" s="58"/>
    </row>
    <row r="280">
      <c r="A280" s="58"/>
    </row>
    <row r="281">
      <c r="A281" s="58"/>
    </row>
    <row r="282">
      <c r="A282" s="58"/>
    </row>
    <row r="283">
      <c r="A283" s="58"/>
    </row>
    <row r="284">
      <c r="A284" s="58"/>
    </row>
    <row r="285">
      <c r="A285" s="58"/>
    </row>
    <row r="286">
      <c r="A286" s="58"/>
    </row>
    <row r="287">
      <c r="A287" s="58"/>
    </row>
    <row r="288">
      <c r="A288" s="58"/>
    </row>
    <row r="289">
      <c r="A289" s="58"/>
    </row>
    <row r="290">
      <c r="A290" s="58"/>
    </row>
    <row r="291">
      <c r="A291" s="58"/>
    </row>
    <row r="292">
      <c r="A292" s="58"/>
    </row>
    <row r="293">
      <c r="A293" s="58"/>
    </row>
    <row r="294">
      <c r="A294" s="58"/>
    </row>
    <row r="295">
      <c r="A295" s="58"/>
    </row>
    <row r="296">
      <c r="A296" s="58"/>
    </row>
    <row r="297">
      <c r="A297" s="58"/>
    </row>
    <row r="298">
      <c r="A298" s="58"/>
    </row>
    <row r="299">
      <c r="A299" s="58"/>
    </row>
    <row r="300">
      <c r="A300" s="58"/>
    </row>
    <row r="301">
      <c r="A301" s="58"/>
    </row>
    <row r="302">
      <c r="A302" s="58"/>
    </row>
    <row r="303">
      <c r="A303" s="58"/>
    </row>
    <row r="304">
      <c r="A304" s="58"/>
    </row>
    <row r="305">
      <c r="A305" s="58"/>
    </row>
    <row r="306">
      <c r="A306" s="58"/>
    </row>
    <row r="307">
      <c r="A307" s="58"/>
    </row>
    <row r="308">
      <c r="A308" s="58"/>
    </row>
    <row r="309">
      <c r="A309" s="58"/>
    </row>
    <row r="310">
      <c r="A310" s="58"/>
    </row>
    <row r="311">
      <c r="A311" s="58"/>
    </row>
    <row r="312">
      <c r="A312" s="58"/>
    </row>
    <row r="313">
      <c r="A313" s="58"/>
    </row>
    <row r="314">
      <c r="A314" s="58"/>
    </row>
    <row r="315">
      <c r="A315" s="58"/>
    </row>
    <row r="316">
      <c r="A316" s="58"/>
    </row>
    <row r="317">
      <c r="A317" s="58"/>
    </row>
    <row r="318">
      <c r="A318" s="58"/>
    </row>
    <row r="319">
      <c r="A319" s="58"/>
    </row>
    <row r="320">
      <c r="A320" s="58"/>
    </row>
    <row r="321">
      <c r="A321" s="58"/>
    </row>
    <row r="322">
      <c r="A322" s="58"/>
    </row>
    <row r="323">
      <c r="A323" s="58"/>
    </row>
    <row r="324">
      <c r="A324" s="58"/>
    </row>
    <row r="325">
      <c r="A325" s="58"/>
    </row>
    <row r="326">
      <c r="A326" s="58"/>
    </row>
    <row r="327">
      <c r="A327" s="58"/>
    </row>
    <row r="328">
      <c r="A328" s="58"/>
    </row>
    <row r="329">
      <c r="A329" s="58"/>
    </row>
    <row r="330">
      <c r="A330" s="58"/>
    </row>
    <row r="331">
      <c r="A331" s="58"/>
    </row>
    <row r="332">
      <c r="A332" s="58"/>
    </row>
    <row r="333">
      <c r="A333" s="58"/>
    </row>
    <row r="334">
      <c r="A334" s="58"/>
    </row>
    <row r="335">
      <c r="A335" s="58"/>
    </row>
    <row r="336">
      <c r="A336" s="58"/>
    </row>
    <row r="337">
      <c r="A337" s="58"/>
    </row>
    <row r="338">
      <c r="A338" s="58"/>
    </row>
    <row r="339">
      <c r="A339" s="58"/>
    </row>
    <row r="340">
      <c r="A340" s="58"/>
    </row>
    <row r="341">
      <c r="A341" s="58"/>
    </row>
    <row r="342">
      <c r="A342" s="58"/>
    </row>
    <row r="343">
      <c r="A343" s="58"/>
    </row>
    <row r="344">
      <c r="A344" s="58"/>
    </row>
    <row r="345">
      <c r="A345" s="58"/>
    </row>
    <row r="346">
      <c r="A346" s="58"/>
    </row>
    <row r="347">
      <c r="A347" s="58"/>
    </row>
    <row r="348">
      <c r="A348" s="58"/>
    </row>
    <row r="349">
      <c r="A349" s="58"/>
    </row>
    <row r="350">
      <c r="A350" s="58"/>
    </row>
    <row r="351">
      <c r="A351" s="58"/>
    </row>
    <row r="352">
      <c r="A352" s="58"/>
    </row>
    <row r="353">
      <c r="A353" s="58"/>
    </row>
    <row r="354">
      <c r="A354" s="58"/>
    </row>
    <row r="355">
      <c r="A355" s="58"/>
    </row>
    <row r="356">
      <c r="A356" s="58"/>
    </row>
    <row r="357">
      <c r="A357" s="58"/>
    </row>
    <row r="358">
      <c r="A358" s="58"/>
    </row>
    <row r="359">
      <c r="A359" s="58"/>
    </row>
    <row r="360">
      <c r="A360" s="58"/>
    </row>
    <row r="361">
      <c r="A361" s="58"/>
    </row>
    <row r="362">
      <c r="A362" s="58"/>
    </row>
    <row r="363">
      <c r="A363" s="58"/>
    </row>
    <row r="364">
      <c r="A364" s="58"/>
    </row>
    <row r="365">
      <c r="A365" s="58"/>
    </row>
    <row r="366">
      <c r="A366" s="58"/>
    </row>
    <row r="367">
      <c r="A367" s="58"/>
    </row>
    <row r="368">
      <c r="A368" s="58"/>
    </row>
    <row r="369">
      <c r="A369" s="58"/>
    </row>
    <row r="370">
      <c r="A370" s="58"/>
    </row>
    <row r="371">
      <c r="A371" s="58"/>
    </row>
    <row r="372">
      <c r="A372" s="58"/>
    </row>
    <row r="373">
      <c r="A373" s="58"/>
    </row>
    <row r="374">
      <c r="A374" s="58"/>
    </row>
    <row r="375">
      <c r="A375" s="58"/>
    </row>
    <row r="376">
      <c r="A376" s="58"/>
    </row>
    <row r="377">
      <c r="A377" s="58"/>
    </row>
    <row r="378">
      <c r="A378" s="58"/>
    </row>
    <row r="379">
      <c r="A379" s="58"/>
    </row>
    <row r="380">
      <c r="A380" s="58"/>
    </row>
    <row r="381">
      <c r="A381" s="58"/>
    </row>
    <row r="382">
      <c r="A382" s="58"/>
    </row>
    <row r="383">
      <c r="A383" s="58"/>
    </row>
    <row r="384">
      <c r="A384" s="58"/>
    </row>
    <row r="385">
      <c r="A385" s="58"/>
    </row>
    <row r="386">
      <c r="A386" s="58"/>
    </row>
    <row r="387">
      <c r="A387" s="58"/>
    </row>
    <row r="388">
      <c r="A388" s="58"/>
    </row>
    <row r="389">
      <c r="A389" s="58"/>
    </row>
    <row r="390">
      <c r="A390" s="58"/>
    </row>
    <row r="391">
      <c r="A391" s="58"/>
    </row>
    <row r="392">
      <c r="A392" s="58"/>
    </row>
    <row r="393">
      <c r="A393" s="58"/>
    </row>
    <row r="394">
      <c r="A394" s="58"/>
    </row>
    <row r="395">
      <c r="A395" s="58"/>
    </row>
    <row r="396">
      <c r="A396" s="58"/>
    </row>
    <row r="397">
      <c r="A397" s="58"/>
    </row>
    <row r="398">
      <c r="A398" s="58"/>
    </row>
    <row r="399">
      <c r="A399" s="58"/>
    </row>
    <row r="400">
      <c r="A400" s="58"/>
    </row>
    <row r="401">
      <c r="A401" s="58"/>
    </row>
    <row r="402">
      <c r="A402" s="58"/>
    </row>
    <row r="403">
      <c r="A403" s="58"/>
    </row>
    <row r="404">
      <c r="A404" s="58"/>
    </row>
    <row r="405">
      <c r="A405" s="58"/>
    </row>
    <row r="406">
      <c r="A406" s="58"/>
    </row>
    <row r="407">
      <c r="A407" s="58"/>
    </row>
    <row r="408">
      <c r="A408" s="58"/>
    </row>
    <row r="409">
      <c r="A409" s="58"/>
    </row>
    <row r="410">
      <c r="A410" s="58"/>
    </row>
    <row r="411">
      <c r="A411" s="58"/>
    </row>
    <row r="412">
      <c r="A412" s="58"/>
    </row>
    <row r="413">
      <c r="A413" s="58"/>
    </row>
    <row r="414">
      <c r="A414" s="58"/>
    </row>
    <row r="415">
      <c r="A415" s="58"/>
    </row>
    <row r="416">
      <c r="A416" s="58"/>
    </row>
    <row r="417">
      <c r="A417" s="58"/>
    </row>
    <row r="418">
      <c r="A418" s="58"/>
    </row>
    <row r="419">
      <c r="A419" s="58"/>
    </row>
    <row r="420">
      <c r="A420" s="58"/>
    </row>
    <row r="421">
      <c r="A421" s="58"/>
    </row>
    <row r="422">
      <c r="A422" s="58"/>
    </row>
    <row r="423">
      <c r="A423" s="58"/>
    </row>
    <row r="424">
      <c r="A424" s="58"/>
    </row>
    <row r="425">
      <c r="A425" s="58"/>
    </row>
    <row r="426">
      <c r="A426" s="58"/>
    </row>
    <row r="427">
      <c r="A427" s="58"/>
    </row>
    <row r="428">
      <c r="A428" s="58"/>
    </row>
    <row r="429">
      <c r="A429" s="58"/>
    </row>
    <row r="430">
      <c r="A430" s="58"/>
    </row>
    <row r="431">
      <c r="A431" s="58"/>
    </row>
    <row r="432">
      <c r="A432" s="58"/>
    </row>
    <row r="433">
      <c r="A433" s="58"/>
    </row>
    <row r="434">
      <c r="A434" s="58"/>
    </row>
    <row r="435">
      <c r="A435" s="58"/>
    </row>
    <row r="436">
      <c r="A436" s="58"/>
    </row>
    <row r="437">
      <c r="A437" s="58"/>
    </row>
    <row r="438">
      <c r="A438" s="58"/>
    </row>
    <row r="439">
      <c r="A439" s="58"/>
    </row>
    <row r="440">
      <c r="A440" s="58"/>
    </row>
    <row r="441">
      <c r="A441" s="58"/>
    </row>
    <row r="442">
      <c r="A442" s="58"/>
    </row>
    <row r="443">
      <c r="A443" s="58"/>
    </row>
    <row r="444">
      <c r="A444" s="58"/>
    </row>
    <row r="445">
      <c r="A445" s="58"/>
    </row>
    <row r="446">
      <c r="A446" s="58"/>
    </row>
    <row r="447">
      <c r="A447" s="58"/>
    </row>
    <row r="448">
      <c r="A448" s="58"/>
    </row>
    <row r="449">
      <c r="A449" s="58"/>
    </row>
    <row r="450">
      <c r="A450" s="58"/>
    </row>
    <row r="451">
      <c r="A451" s="58"/>
    </row>
    <row r="452">
      <c r="A452" s="58"/>
    </row>
    <row r="453">
      <c r="A453" s="58"/>
    </row>
    <row r="454">
      <c r="A454" s="58"/>
    </row>
    <row r="455">
      <c r="A455" s="58"/>
    </row>
    <row r="456">
      <c r="A456" s="58"/>
    </row>
    <row r="457">
      <c r="A457" s="58"/>
    </row>
    <row r="458">
      <c r="A458" s="58"/>
    </row>
    <row r="459">
      <c r="A459" s="58"/>
    </row>
    <row r="460">
      <c r="A460" s="58"/>
    </row>
    <row r="461">
      <c r="A461" s="58"/>
    </row>
    <row r="462">
      <c r="A462" s="58"/>
    </row>
    <row r="463">
      <c r="A463" s="58"/>
    </row>
    <row r="464">
      <c r="A464" s="58"/>
    </row>
    <row r="465">
      <c r="A465" s="58"/>
    </row>
    <row r="466">
      <c r="A466" s="58"/>
    </row>
    <row r="467">
      <c r="A467" s="58"/>
    </row>
    <row r="468">
      <c r="A468" s="58"/>
    </row>
    <row r="469">
      <c r="A469" s="58"/>
    </row>
    <row r="470">
      <c r="A470" s="58"/>
    </row>
    <row r="471">
      <c r="A471" s="58"/>
    </row>
    <row r="472">
      <c r="A472" s="58"/>
    </row>
    <row r="473">
      <c r="A473" s="58"/>
    </row>
    <row r="474">
      <c r="A474" s="58"/>
    </row>
    <row r="475">
      <c r="A475" s="58"/>
    </row>
    <row r="476">
      <c r="A476" s="58"/>
    </row>
    <row r="477">
      <c r="A477" s="58"/>
    </row>
    <row r="478">
      <c r="A478" s="58"/>
    </row>
    <row r="479">
      <c r="A479" s="58"/>
    </row>
    <row r="480">
      <c r="A480" s="58"/>
    </row>
    <row r="481">
      <c r="A481" s="58"/>
    </row>
    <row r="482">
      <c r="A482" s="58"/>
    </row>
    <row r="483">
      <c r="A483" s="58"/>
    </row>
    <row r="484">
      <c r="A484" s="58"/>
    </row>
    <row r="485">
      <c r="A485" s="58"/>
    </row>
    <row r="486">
      <c r="A486" s="58"/>
    </row>
    <row r="487">
      <c r="A487" s="58"/>
    </row>
    <row r="488">
      <c r="A488" s="58"/>
    </row>
    <row r="489">
      <c r="A489" s="58"/>
    </row>
    <row r="490">
      <c r="A490" s="58"/>
    </row>
    <row r="491">
      <c r="A491" s="58"/>
    </row>
    <row r="492">
      <c r="A492" s="58"/>
    </row>
    <row r="493">
      <c r="A493" s="58"/>
    </row>
    <row r="494">
      <c r="A494" s="58"/>
    </row>
    <row r="495">
      <c r="A495" s="58"/>
    </row>
    <row r="496">
      <c r="A496" s="58"/>
    </row>
    <row r="497">
      <c r="A497" s="58"/>
    </row>
    <row r="498">
      <c r="A498" s="58"/>
    </row>
    <row r="499">
      <c r="A499" s="58"/>
    </row>
    <row r="500">
      <c r="A500" s="58"/>
    </row>
    <row r="501">
      <c r="A501" s="58"/>
    </row>
    <row r="502">
      <c r="A502" s="58"/>
    </row>
    <row r="503">
      <c r="A503" s="58"/>
    </row>
    <row r="504">
      <c r="A504" s="58"/>
    </row>
    <row r="505">
      <c r="A505" s="58"/>
    </row>
    <row r="506">
      <c r="A506" s="58"/>
    </row>
    <row r="507">
      <c r="A507" s="58"/>
    </row>
    <row r="508">
      <c r="A508" s="58"/>
    </row>
    <row r="509">
      <c r="A509" s="58"/>
    </row>
    <row r="510">
      <c r="A510" s="58"/>
    </row>
    <row r="511">
      <c r="A511" s="58"/>
    </row>
    <row r="512">
      <c r="A512" s="58"/>
    </row>
    <row r="513">
      <c r="A513" s="58"/>
    </row>
    <row r="514">
      <c r="A514" s="58"/>
    </row>
    <row r="515">
      <c r="A515" s="58"/>
    </row>
    <row r="516">
      <c r="A516" s="58"/>
    </row>
    <row r="517">
      <c r="A517" s="58"/>
    </row>
    <row r="518">
      <c r="A518" s="58"/>
    </row>
    <row r="519">
      <c r="A519" s="58"/>
    </row>
    <row r="520">
      <c r="A520" s="58"/>
    </row>
    <row r="521">
      <c r="A521" s="58"/>
    </row>
    <row r="522">
      <c r="A522" s="58"/>
    </row>
    <row r="523">
      <c r="A523" s="58"/>
    </row>
    <row r="524">
      <c r="A524" s="58"/>
    </row>
    <row r="525">
      <c r="A525" s="58"/>
    </row>
    <row r="526">
      <c r="A526" s="58"/>
    </row>
    <row r="527">
      <c r="A527" s="58"/>
    </row>
    <row r="528">
      <c r="A528" s="58"/>
    </row>
    <row r="529">
      <c r="A529" s="58"/>
    </row>
    <row r="530">
      <c r="A530" s="58"/>
    </row>
    <row r="531">
      <c r="A531" s="58"/>
    </row>
    <row r="532">
      <c r="A532" s="58"/>
    </row>
    <row r="533">
      <c r="A533" s="58"/>
    </row>
    <row r="534">
      <c r="A534" s="58"/>
    </row>
    <row r="535">
      <c r="A535" s="58"/>
    </row>
    <row r="536">
      <c r="A536" s="58"/>
    </row>
    <row r="537">
      <c r="A537" s="58"/>
    </row>
    <row r="538">
      <c r="A538" s="58"/>
    </row>
    <row r="539">
      <c r="A539" s="58"/>
    </row>
    <row r="540">
      <c r="A540" s="58"/>
    </row>
    <row r="541">
      <c r="A541" s="58"/>
    </row>
    <row r="542">
      <c r="A542" s="58"/>
    </row>
    <row r="543">
      <c r="A543" s="58"/>
    </row>
    <row r="544">
      <c r="A544" s="58"/>
    </row>
    <row r="545">
      <c r="A545" s="58"/>
    </row>
    <row r="546">
      <c r="A546" s="58"/>
    </row>
    <row r="547">
      <c r="A547" s="58"/>
    </row>
    <row r="548">
      <c r="A548" s="58"/>
    </row>
    <row r="549">
      <c r="A549" s="58"/>
    </row>
    <row r="550">
      <c r="A550" s="58"/>
    </row>
    <row r="551">
      <c r="A551" s="58"/>
    </row>
    <row r="552">
      <c r="A552" s="58"/>
    </row>
    <row r="553">
      <c r="A553" s="58"/>
    </row>
    <row r="554">
      <c r="A554" s="58"/>
    </row>
    <row r="555">
      <c r="A555" s="58"/>
    </row>
    <row r="556">
      <c r="A556" s="58"/>
    </row>
    <row r="557">
      <c r="A557" s="58"/>
    </row>
    <row r="558">
      <c r="A558" s="58"/>
    </row>
    <row r="559">
      <c r="A559" s="58"/>
    </row>
    <row r="560">
      <c r="A560" s="58"/>
    </row>
    <row r="561">
      <c r="A561" s="58"/>
    </row>
    <row r="562">
      <c r="A562" s="58"/>
    </row>
    <row r="563">
      <c r="A563" s="58"/>
    </row>
    <row r="564">
      <c r="A564" s="58"/>
    </row>
    <row r="565">
      <c r="A565" s="58"/>
    </row>
    <row r="566">
      <c r="A566" s="58"/>
    </row>
    <row r="567">
      <c r="A567" s="58"/>
    </row>
    <row r="568">
      <c r="A568" s="58"/>
    </row>
    <row r="569">
      <c r="A569" s="58"/>
    </row>
    <row r="570">
      <c r="A570" s="58"/>
    </row>
    <row r="571">
      <c r="A571" s="58"/>
    </row>
    <row r="572">
      <c r="A572" s="58"/>
    </row>
    <row r="573">
      <c r="A573" s="58"/>
    </row>
    <row r="574">
      <c r="A574" s="58"/>
    </row>
    <row r="575">
      <c r="A575" s="58"/>
    </row>
    <row r="576">
      <c r="A576" s="58"/>
    </row>
    <row r="577">
      <c r="A577" s="58"/>
    </row>
    <row r="578">
      <c r="A578" s="58"/>
    </row>
    <row r="579">
      <c r="A579" s="58"/>
    </row>
    <row r="580">
      <c r="A580" s="58"/>
    </row>
    <row r="581">
      <c r="A581" s="58"/>
    </row>
    <row r="582">
      <c r="A582" s="58"/>
    </row>
    <row r="583">
      <c r="A583" s="58"/>
    </row>
    <row r="584">
      <c r="A584" s="58"/>
    </row>
    <row r="585">
      <c r="A585" s="58"/>
    </row>
    <row r="586">
      <c r="A586" s="58"/>
    </row>
    <row r="587">
      <c r="A587" s="58"/>
    </row>
    <row r="588">
      <c r="A588" s="58"/>
    </row>
    <row r="589">
      <c r="A589" s="58"/>
    </row>
    <row r="590">
      <c r="A590" s="58"/>
    </row>
    <row r="591">
      <c r="A591" s="58"/>
    </row>
    <row r="592">
      <c r="A592" s="58"/>
    </row>
    <row r="593">
      <c r="A593" s="58"/>
    </row>
    <row r="594">
      <c r="A594" s="58"/>
    </row>
    <row r="595">
      <c r="A595" s="58"/>
    </row>
    <row r="596">
      <c r="A596" s="58"/>
    </row>
    <row r="597">
      <c r="A597" s="58"/>
    </row>
    <row r="598">
      <c r="A598" s="58"/>
    </row>
    <row r="599">
      <c r="A599" s="58"/>
    </row>
    <row r="600">
      <c r="A600" s="58"/>
    </row>
    <row r="601">
      <c r="A601" s="58"/>
    </row>
    <row r="602">
      <c r="A602" s="58"/>
    </row>
    <row r="603">
      <c r="A603" s="58"/>
    </row>
    <row r="604">
      <c r="A604" s="58"/>
    </row>
    <row r="605">
      <c r="A605" s="58"/>
    </row>
    <row r="606">
      <c r="A606" s="58"/>
    </row>
    <row r="607">
      <c r="A607" s="58"/>
    </row>
    <row r="608">
      <c r="A608" s="58"/>
    </row>
    <row r="609">
      <c r="A609" s="58"/>
    </row>
    <row r="610">
      <c r="A610" s="58"/>
    </row>
    <row r="611">
      <c r="A611" s="58"/>
    </row>
    <row r="612">
      <c r="A612" s="58"/>
    </row>
    <row r="613">
      <c r="A613" s="58"/>
    </row>
    <row r="614">
      <c r="A614" s="58"/>
    </row>
    <row r="615">
      <c r="A615" s="58"/>
    </row>
    <row r="616">
      <c r="A616" s="58"/>
    </row>
    <row r="617">
      <c r="A617" s="58"/>
    </row>
    <row r="618">
      <c r="A618" s="58"/>
    </row>
    <row r="619">
      <c r="A619" s="58"/>
    </row>
    <row r="620">
      <c r="A620" s="58"/>
    </row>
    <row r="621">
      <c r="A621" s="58"/>
    </row>
    <row r="622">
      <c r="A622" s="58"/>
    </row>
    <row r="623">
      <c r="A623" s="58"/>
    </row>
    <row r="624">
      <c r="A624" s="58"/>
    </row>
    <row r="625">
      <c r="A625" s="58"/>
    </row>
    <row r="626">
      <c r="A626" s="58"/>
    </row>
    <row r="627">
      <c r="A627" s="58"/>
    </row>
    <row r="628">
      <c r="A628" s="58"/>
    </row>
    <row r="629">
      <c r="A629" s="58"/>
    </row>
    <row r="630">
      <c r="A630" s="58"/>
    </row>
    <row r="631">
      <c r="A631" s="58"/>
    </row>
    <row r="632">
      <c r="A632" s="58"/>
    </row>
    <row r="633">
      <c r="A633" s="58"/>
    </row>
    <row r="634">
      <c r="A634" s="58"/>
    </row>
    <row r="635">
      <c r="A635" s="58"/>
    </row>
    <row r="636">
      <c r="A636" s="58"/>
    </row>
    <row r="637">
      <c r="A637" s="58"/>
    </row>
    <row r="638">
      <c r="A638" s="58"/>
    </row>
    <row r="639">
      <c r="A639" s="58"/>
    </row>
    <row r="640">
      <c r="A640" s="58"/>
    </row>
    <row r="641">
      <c r="A641" s="58"/>
    </row>
    <row r="642">
      <c r="A642" s="58"/>
    </row>
    <row r="643">
      <c r="A643" s="58"/>
    </row>
    <row r="644">
      <c r="A644" s="58"/>
    </row>
    <row r="645">
      <c r="A645" s="58"/>
    </row>
    <row r="646">
      <c r="A646" s="58"/>
    </row>
    <row r="647">
      <c r="A647" s="58"/>
    </row>
    <row r="648">
      <c r="A648" s="58"/>
    </row>
    <row r="649">
      <c r="A649" s="58"/>
    </row>
    <row r="650">
      <c r="A650" s="58"/>
    </row>
    <row r="651">
      <c r="A651" s="58"/>
    </row>
    <row r="652">
      <c r="A652" s="58"/>
    </row>
    <row r="653">
      <c r="A653" s="58"/>
    </row>
    <row r="654">
      <c r="A654" s="58"/>
    </row>
    <row r="655">
      <c r="A655" s="58"/>
    </row>
    <row r="656">
      <c r="A656" s="58"/>
    </row>
    <row r="657">
      <c r="A657" s="58"/>
    </row>
    <row r="658">
      <c r="A658" s="58"/>
    </row>
    <row r="659">
      <c r="A659" s="58"/>
    </row>
    <row r="660">
      <c r="A660" s="58"/>
    </row>
    <row r="661">
      <c r="A661" s="58"/>
    </row>
    <row r="662">
      <c r="A662" s="58"/>
    </row>
    <row r="663">
      <c r="A663" s="58"/>
    </row>
    <row r="664">
      <c r="A664" s="58"/>
    </row>
    <row r="665">
      <c r="A665" s="58"/>
    </row>
    <row r="666">
      <c r="A666" s="58"/>
    </row>
    <row r="667">
      <c r="A667" s="58"/>
    </row>
    <row r="668">
      <c r="A668" s="58"/>
    </row>
    <row r="669">
      <c r="A669" s="58"/>
    </row>
    <row r="670">
      <c r="A670" s="58"/>
    </row>
    <row r="671">
      <c r="A671" s="58"/>
    </row>
    <row r="672">
      <c r="A672" s="58"/>
    </row>
    <row r="673">
      <c r="A673" s="58"/>
    </row>
    <row r="674">
      <c r="A674" s="58"/>
    </row>
    <row r="675">
      <c r="A675" s="58"/>
    </row>
    <row r="676">
      <c r="A676" s="58"/>
    </row>
    <row r="677">
      <c r="A677" s="58"/>
    </row>
    <row r="678">
      <c r="A678" s="58"/>
    </row>
    <row r="679">
      <c r="A679" s="58"/>
    </row>
    <row r="680">
      <c r="A680" s="58"/>
    </row>
    <row r="681">
      <c r="A681" s="58"/>
    </row>
    <row r="682">
      <c r="A682" s="58"/>
    </row>
    <row r="683">
      <c r="A683" s="58"/>
    </row>
    <row r="684">
      <c r="A684" s="58"/>
    </row>
    <row r="685">
      <c r="A685" s="58"/>
    </row>
    <row r="686">
      <c r="A686" s="58"/>
    </row>
    <row r="687">
      <c r="A687" s="58"/>
    </row>
    <row r="688">
      <c r="A688" s="58"/>
    </row>
    <row r="689">
      <c r="A689" s="58"/>
    </row>
    <row r="690">
      <c r="A690" s="58"/>
    </row>
    <row r="691">
      <c r="A691" s="58"/>
    </row>
    <row r="692">
      <c r="A692" s="58"/>
    </row>
    <row r="693">
      <c r="A693" s="58"/>
    </row>
    <row r="694">
      <c r="A694" s="58"/>
    </row>
    <row r="695">
      <c r="A695" s="58"/>
    </row>
    <row r="696">
      <c r="A696" s="58"/>
    </row>
    <row r="697">
      <c r="A697" s="58"/>
    </row>
    <row r="698">
      <c r="A698" s="58"/>
    </row>
    <row r="699">
      <c r="A699" s="58"/>
    </row>
    <row r="700">
      <c r="A700" s="58"/>
    </row>
    <row r="701">
      <c r="A701" s="58"/>
    </row>
    <row r="702">
      <c r="A702" s="58"/>
    </row>
    <row r="703">
      <c r="A703" s="58"/>
    </row>
    <row r="704">
      <c r="A704" s="58"/>
    </row>
    <row r="705">
      <c r="A705" s="58"/>
    </row>
    <row r="706">
      <c r="A706" s="58"/>
    </row>
    <row r="707">
      <c r="A707" s="58"/>
    </row>
    <row r="708">
      <c r="A708" s="58"/>
    </row>
    <row r="709">
      <c r="A709" s="58"/>
    </row>
    <row r="710">
      <c r="A710" s="58"/>
    </row>
    <row r="711">
      <c r="A711" s="58"/>
    </row>
    <row r="712">
      <c r="A712" s="58"/>
    </row>
    <row r="713">
      <c r="A713" s="58"/>
    </row>
    <row r="714">
      <c r="A714" s="58"/>
    </row>
    <row r="715">
      <c r="A715" s="58"/>
    </row>
    <row r="716">
      <c r="A716" s="58"/>
    </row>
    <row r="717">
      <c r="A717" s="58"/>
    </row>
    <row r="718">
      <c r="A718" s="58"/>
    </row>
    <row r="719">
      <c r="A719" s="58"/>
    </row>
    <row r="720">
      <c r="A720" s="58"/>
    </row>
    <row r="721">
      <c r="A721" s="58"/>
    </row>
    <row r="722">
      <c r="A722" s="58"/>
    </row>
    <row r="723">
      <c r="A723" s="58"/>
    </row>
    <row r="724">
      <c r="A724" s="58"/>
    </row>
    <row r="725">
      <c r="A725" s="58"/>
    </row>
    <row r="726">
      <c r="A726" s="58"/>
    </row>
    <row r="727">
      <c r="A727" s="58"/>
    </row>
    <row r="728">
      <c r="A728" s="58"/>
    </row>
    <row r="729">
      <c r="A729" s="58"/>
    </row>
    <row r="730">
      <c r="A730" s="58"/>
    </row>
    <row r="731">
      <c r="A731" s="58"/>
    </row>
    <row r="732">
      <c r="A732" s="58"/>
    </row>
    <row r="733">
      <c r="A733" s="58"/>
    </row>
    <row r="734">
      <c r="A734" s="58"/>
    </row>
    <row r="735">
      <c r="A735" s="58"/>
    </row>
    <row r="736">
      <c r="A736" s="58"/>
    </row>
    <row r="737">
      <c r="A737" s="58"/>
    </row>
    <row r="738">
      <c r="A738" s="58"/>
    </row>
    <row r="739">
      <c r="A739" s="58"/>
    </row>
    <row r="740">
      <c r="A740" s="58"/>
    </row>
    <row r="741">
      <c r="A741" s="58"/>
    </row>
    <row r="742">
      <c r="A742" s="58"/>
    </row>
    <row r="743">
      <c r="A743" s="58"/>
    </row>
    <row r="744">
      <c r="A744" s="58"/>
    </row>
    <row r="745">
      <c r="A745" s="58"/>
    </row>
    <row r="746">
      <c r="A746" s="58"/>
    </row>
    <row r="747">
      <c r="A747" s="58"/>
    </row>
    <row r="748">
      <c r="A748" s="58"/>
    </row>
    <row r="749">
      <c r="A749" s="58"/>
    </row>
    <row r="750">
      <c r="A750" s="58"/>
    </row>
    <row r="751">
      <c r="A751" s="58"/>
    </row>
    <row r="752">
      <c r="A752" s="58"/>
    </row>
    <row r="753">
      <c r="A753" s="58"/>
    </row>
    <row r="754">
      <c r="A754" s="58"/>
    </row>
    <row r="755">
      <c r="A755" s="58"/>
    </row>
    <row r="756">
      <c r="A756" s="58"/>
    </row>
    <row r="757">
      <c r="A757" s="58"/>
    </row>
    <row r="758">
      <c r="A758" s="58"/>
    </row>
    <row r="759">
      <c r="A759" s="58"/>
    </row>
    <row r="760">
      <c r="A760" s="58"/>
    </row>
    <row r="761">
      <c r="A761" s="58"/>
    </row>
    <row r="762">
      <c r="A762" s="58"/>
    </row>
    <row r="763">
      <c r="A763" s="58"/>
    </row>
    <row r="764">
      <c r="A764" s="58"/>
    </row>
    <row r="765">
      <c r="A765" s="58"/>
    </row>
    <row r="766">
      <c r="A766" s="58"/>
    </row>
    <row r="767">
      <c r="A767" s="58"/>
    </row>
    <row r="768">
      <c r="A768" s="58"/>
    </row>
    <row r="769">
      <c r="A769" s="58"/>
    </row>
    <row r="770">
      <c r="A770" s="58"/>
    </row>
    <row r="771">
      <c r="A771" s="58"/>
    </row>
    <row r="772">
      <c r="A772" s="58"/>
    </row>
    <row r="773">
      <c r="A773" s="58"/>
    </row>
    <row r="774">
      <c r="A774" s="58"/>
    </row>
    <row r="775">
      <c r="A775" s="58"/>
    </row>
    <row r="776">
      <c r="A776" s="58"/>
    </row>
    <row r="777">
      <c r="A777" s="58"/>
    </row>
    <row r="778">
      <c r="A778" s="58"/>
    </row>
    <row r="779">
      <c r="A779" s="58"/>
    </row>
    <row r="780">
      <c r="A780" s="58"/>
    </row>
    <row r="781">
      <c r="A781" s="58"/>
    </row>
    <row r="782">
      <c r="A782" s="58"/>
    </row>
    <row r="783">
      <c r="A783" s="58"/>
    </row>
    <row r="784">
      <c r="A784" s="58"/>
    </row>
    <row r="785">
      <c r="A785" s="58"/>
    </row>
    <row r="786">
      <c r="A786" s="58"/>
    </row>
    <row r="787">
      <c r="A787" s="58"/>
    </row>
    <row r="788">
      <c r="A788" s="58"/>
    </row>
    <row r="789">
      <c r="A789" s="58"/>
    </row>
    <row r="790">
      <c r="A790" s="58"/>
    </row>
    <row r="791">
      <c r="A791" s="58"/>
    </row>
    <row r="792">
      <c r="A792" s="58"/>
    </row>
    <row r="793">
      <c r="A793" s="58"/>
    </row>
    <row r="794">
      <c r="A794" s="58"/>
    </row>
    <row r="795">
      <c r="A795" s="58"/>
    </row>
    <row r="796">
      <c r="A796" s="58"/>
    </row>
    <row r="797">
      <c r="A797" s="58"/>
    </row>
    <row r="798">
      <c r="A798" s="58"/>
    </row>
    <row r="799">
      <c r="A799" s="58"/>
    </row>
    <row r="800">
      <c r="A800" s="58"/>
    </row>
    <row r="801">
      <c r="A801" s="58"/>
    </row>
    <row r="802">
      <c r="A802" s="58"/>
    </row>
    <row r="803">
      <c r="A803" s="58"/>
    </row>
    <row r="804">
      <c r="A804" s="58"/>
    </row>
    <row r="805">
      <c r="A805" s="58"/>
    </row>
    <row r="806">
      <c r="A806" s="58"/>
    </row>
    <row r="807">
      <c r="A807" s="58"/>
    </row>
    <row r="808">
      <c r="A808" s="58"/>
    </row>
    <row r="809">
      <c r="A809" s="58"/>
    </row>
    <row r="810">
      <c r="A810" s="58"/>
    </row>
    <row r="811">
      <c r="A811" s="58"/>
    </row>
    <row r="812">
      <c r="A812" s="58"/>
    </row>
    <row r="813">
      <c r="A813" s="58"/>
    </row>
    <row r="814">
      <c r="A814" s="58"/>
    </row>
    <row r="815">
      <c r="A815" s="58"/>
    </row>
    <row r="816">
      <c r="A816" s="58"/>
    </row>
    <row r="817">
      <c r="A817" s="58"/>
    </row>
    <row r="818">
      <c r="A818" s="58"/>
    </row>
    <row r="819">
      <c r="A819" s="58"/>
    </row>
    <row r="820">
      <c r="A820" s="58"/>
    </row>
    <row r="821">
      <c r="A821" s="58"/>
    </row>
    <row r="822">
      <c r="A822" s="58"/>
    </row>
    <row r="823">
      <c r="A823" s="58"/>
    </row>
    <row r="824">
      <c r="A824" s="58"/>
    </row>
    <row r="825">
      <c r="A825" s="58"/>
    </row>
    <row r="826">
      <c r="A826" s="58"/>
    </row>
    <row r="827">
      <c r="A827" s="58"/>
    </row>
    <row r="828">
      <c r="A828" s="58"/>
    </row>
    <row r="829">
      <c r="A829" s="58"/>
    </row>
    <row r="830">
      <c r="A830" s="58"/>
    </row>
    <row r="831">
      <c r="A831" s="58"/>
    </row>
    <row r="832">
      <c r="A832" s="58"/>
    </row>
    <row r="833">
      <c r="A833" s="58"/>
    </row>
    <row r="834">
      <c r="A834" s="58"/>
    </row>
    <row r="835">
      <c r="A835" s="58"/>
    </row>
    <row r="836">
      <c r="A836" s="58"/>
    </row>
    <row r="837">
      <c r="A837" s="58"/>
    </row>
    <row r="838">
      <c r="A838" s="58"/>
    </row>
    <row r="839">
      <c r="A839" s="58"/>
    </row>
    <row r="840">
      <c r="A840" s="58"/>
    </row>
    <row r="841">
      <c r="A841" s="58"/>
    </row>
    <row r="842">
      <c r="A842" s="58"/>
    </row>
    <row r="843">
      <c r="A843" s="58"/>
    </row>
    <row r="844">
      <c r="A844" s="58"/>
    </row>
    <row r="845">
      <c r="A845" s="58"/>
    </row>
    <row r="846">
      <c r="A846" s="58"/>
    </row>
    <row r="847">
      <c r="A847" s="58"/>
    </row>
    <row r="848">
      <c r="A848" s="58"/>
    </row>
    <row r="849">
      <c r="A849" s="58"/>
    </row>
    <row r="850">
      <c r="A850" s="58"/>
    </row>
    <row r="851">
      <c r="A851" s="58"/>
    </row>
    <row r="852">
      <c r="A852" s="58"/>
    </row>
    <row r="853">
      <c r="A853" s="58"/>
    </row>
    <row r="854">
      <c r="A854" s="58"/>
    </row>
    <row r="855">
      <c r="A855" s="58"/>
    </row>
    <row r="856">
      <c r="A856" s="58"/>
    </row>
    <row r="857">
      <c r="A857" s="58"/>
    </row>
    <row r="858">
      <c r="A858" s="58"/>
    </row>
    <row r="859">
      <c r="A859" s="58"/>
    </row>
    <row r="860">
      <c r="A860" s="58"/>
    </row>
    <row r="861">
      <c r="A861" s="58"/>
    </row>
    <row r="862">
      <c r="A862" s="58"/>
    </row>
    <row r="863">
      <c r="A863" s="58"/>
    </row>
    <row r="864">
      <c r="A864" s="58"/>
    </row>
    <row r="865">
      <c r="A865" s="58"/>
    </row>
    <row r="866">
      <c r="A866" s="58"/>
    </row>
    <row r="867">
      <c r="A867" s="58"/>
    </row>
    <row r="868">
      <c r="A868" s="58"/>
    </row>
    <row r="869">
      <c r="A869" s="58"/>
    </row>
    <row r="870">
      <c r="A870" s="58"/>
    </row>
    <row r="871">
      <c r="A871" s="58"/>
    </row>
    <row r="872">
      <c r="A872" s="58"/>
    </row>
    <row r="873">
      <c r="A873" s="58"/>
    </row>
    <row r="874">
      <c r="A874" s="58"/>
    </row>
    <row r="875">
      <c r="A875" s="58"/>
    </row>
    <row r="876">
      <c r="A876" s="58"/>
    </row>
    <row r="877">
      <c r="A877" s="58"/>
    </row>
    <row r="878">
      <c r="A878" s="58"/>
    </row>
    <row r="879">
      <c r="A879" s="58"/>
    </row>
    <row r="880">
      <c r="A880" s="58"/>
    </row>
    <row r="881">
      <c r="A881" s="58"/>
    </row>
    <row r="882">
      <c r="A882" s="58"/>
    </row>
    <row r="883">
      <c r="A883" s="58"/>
    </row>
    <row r="884">
      <c r="A884" s="58"/>
    </row>
    <row r="885">
      <c r="A885" s="58"/>
    </row>
    <row r="886">
      <c r="A886" s="58"/>
    </row>
    <row r="887">
      <c r="A887" s="58"/>
    </row>
    <row r="888">
      <c r="A888" s="58"/>
    </row>
    <row r="889">
      <c r="A889" s="58"/>
    </row>
    <row r="890">
      <c r="A890" s="58"/>
    </row>
    <row r="891">
      <c r="A891" s="58"/>
    </row>
    <row r="892">
      <c r="A892" s="58"/>
    </row>
    <row r="893">
      <c r="A893" s="58"/>
    </row>
    <row r="894">
      <c r="A894" s="58"/>
    </row>
    <row r="895">
      <c r="A895" s="58"/>
    </row>
    <row r="896">
      <c r="A896" s="58"/>
    </row>
    <row r="897">
      <c r="A897" s="58"/>
    </row>
    <row r="898">
      <c r="A898" s="58"/>
    </row>
    <row r="899">
      <c r="A899" s="58"/>
    </row>
    <row r="900">
      <c r="A900" s="58"/>
    </row>
    <row r="901">
      <c r="A901" s="58"/>
    </row>
    <row r="902">
      <c r="A902" s="58"/>
    </row>
    <row r="903">
      <c r="A903" s="58"/>
    </row>
    <row r="904">
      <c r="A904" s="58"/>
    </row>
    <row r="905">
      <c r="A905" s="58"/>
    </row>
    <row r="906">
      <c r="A906" s="58"/>
    </row>
    <row r="907">
      <c r="A907" s="58"/>
    </row>
    <row r="908">
      <c r="A908" s="58"/>
    </row>
    <row r="909">
      <c r="A909" s="58"/>
    </row>
    <row r="910">
      <c r="A910" s="58"/>
    </row>
    <row r="911">
      <c r="A911" s="58"/>
    </row>
    <row r="912">
      <c r="A912" s="58"/>
    </row>
    <row r="913">
      <c r="A913" s="58"/>
    </row>
    <row r="914">
      <c r="A914" s="58"/>
    </row>
    <row r="915">
      <c r="A915" s="58"/>
    </row>
    <row r="916">
      <c r="A916" s="58"/>
    </row>
    <row r="917">
      <c r="A917" s="58"/>
    </row>
    <row r="918">
      <c r="A918" s="58"/>
    </row>
    <row r="919">
      <c r="A919" s="58"/>
    </row>
    <row r="920">
      <c r="A920" s="58"/>
    </row>
    <row r="921">
      <c r="A921" s="58"/>
    </row>
    <row r="922">
      <c r="A922" s="58"/>
    </row>
    <row r="923">
      <c r="A923" s="58"/>
    </row>
    <row r="924">
      <c r="A924" s="58"/>
    </row>
    <row r="925">
      <c r="A925" s="58"/>
    </row>
    <row r="926">
      <c r="A926" s="58"/>
    </row>
    <row r="927">
      <c r="A927" s="58"/>
    </row>
    <row r="928">
      <c r="A928" s="58"/>
    </row>
    <row r="929">
      <c r="A929" s="58"/>
    </row>
    <row r="930">
      <c r="A930" s="58"/>
    </row>
    <row r="931">
      <c r="A931" s="58"/>
    </row>
    <row r="932">
      <c r="A932" s="58"/>
    </row>
    <row r="933">
      <c r="A933" s="58"/>
    </row>
    <row r="934">
      <c r="A934" s="58"/>
    </row>
    <row r="935">
      <c r="A935" s="58"/>
    </row>
    <row r="936">
      <c r="A936" s="58"/>
    </row>
    <row r="937">
      <c r="A937" s="58"/>
    </row>
    <row r="938">
      <c r="A938" s="58"/>
    </row>
    <row r="939">
      <c r="A939" s="58"/>
    </row>
    <row r="940">
      <c r="A940" s="58"/>
    </row>
    <row r="941">
      <c r="A941" s="58"/>
    </row>
    <row r="942">
      <c r="A942" s="58"/>
    </row>
    <row r="943">
      <c r="A943" s="58"/>
    </row>
    <row r="944">
      <c r="A944" s="58"/>
    </row>
    <row r="945">
      <c r="A945" s="58"/>
    </row>
    <row r="946">
      <c r="A946" s="58"/>
    </row>
    <row r="947">
      <c r="A947" s="58"/>
    </row>
    <row r="948">
      <c r="A948" s="58"/>
    </row>
    <row r="949">
      <c r="A949" s="58"/>
    </row>
    <row r="950">
      <c r="A950" s="58"/>
    </row>
    <row r="951">
      <c r="A951" s="58"/>
    </row>
    <row r="952">
      <c r="A952" s="58"/>
    </row>
    <row r="953">
      <c r="A953" s="58"/>
    </row>
    <row r="954">
      <c r="A954" s="58"/>
    </row>
    <row r="955">
      <c r="A955" s="58"/>
    </row>
    <row r="956">
      <c r="A956" s="58"/>
    </row>
    <row r="957">
      <c r="A957" s="58"/>
    </row>
    <row r="958">
      <c r="A958" s="58"/>
    </row>
    <row r="959">
      <c r="A959" s="58"/>
    </row>
    <row r="960">
      <c r="A960" s="58"/>
    </row>
    <row r="961">
      <c r="A961" s="58"/>
    </row>
    <row r="962">
      <c r="A962" s="58"/>
    </row>
    <row r="963">
      <c r="A963" s="58"/>
    </row>
    <row r="964">
      <c r="A964" s="58"/>
    </row>
    <row r="965">
      <c r="A965" s="58"/>
    </row>
    <row r="966">
      <c r="A966" s="58"/>
    </row>
    <row r="967">
      <c r="A967" s="58"/>
    </row>
    <row r="968">
      <c r="A968" s="58"/>
    </row>
    <row r="969">
      <c r="A969" s="58"/>
    </row>
    <row r="970">
      <c r="A970" s="58"/>
    </row>
    <row r="971">
      <c r="A971" s="58"/>
    </row>
    <row r="972">
      <c r="A972" s="58"/>
    </row>
    <row r="973">
      <c r="A973" s="58"/>
    </row>
    <row r="974">
      <c r="A974" s="58"/>
    </row>
    <row r="975">
      <c r="A975" s="58"/>
    </row>
    <row r="976">
      <c r="A976" s="58"/>
    </row>
    <row r="977">
      <c r="A977" s="58"/>
    </row>
    <row r="978">
      <c r="A978" s="58"/>
    </row>
    <row r="979">
      <c r="A979" s="58"/>
    </row>
    <row r="980">
      <c r="A980" s="58"/>
    </row>
    <row r="981">
      <c r="A981" s="58"/>
    </row>
    <row r="982">
      <c r="A982" s="58"/>
    </row>
    <row r="983">
      <c r="A983" s="58"/>
    </row>
    <row r="984">
      <c r="A984" s="58"/>
    </row>
    <row r="985">
      <c r="A985" s="58"/>
    </row>
    <row r="986">
      <c r="A986" s="58"/>
    </row>
    <row r="987">
      <c r="A987" s="58"/>
    </row>
    <row r="988">
      <c r="A988" s="58"/>
    </row>
    <row r="989">
      <c r="A989" s="58"/>
    </row>
    <row r="990">
      <c r="A990" s="58"/>
    </row>
    <row r="991">
      <c r="A991" s="58"/>
    </row>
    <row r="992">
      <c r="A992" s="58"/>
    </row>
    <row r="993">
      <c r="A993" s="58"/>
    </row>
    <row r="994">
      <c r="A994" s="58"/>
    </row>
    <row r="995">
      <c r="A995" s="58"/>
    </row>
    <row r="996">
      <c r="A996" s="58"/>
    </row>
    <row r="997">
      <c r="A997" s="58"/>
    </row>
    <row r="998">
      <c r="A998" s="58"/>
    </row>
    <row r="999">
      <c r="A999" s="58"/>
    </row>
    <row r="1000">
      <c r="A1000" s="58"/>
    </row>
  </sheetData>
  <mergeCells count="6">
    <mergeCell ref="A2:A8"/>
    <mergeCell ref="A9:A26"/>
    <mergeCell ref="A27:A29"/>
    <mergeCell ref="A30:A40"/>
    <mergeCell ref="A41:A55"/>
    <mergeCell ref="A56:A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38.63"/>
  </cols>
  <sheetData>
    <row r="2">
      <c r="A2" s="23">
        <v>1.0</v>
      </c>
      <c r="B2" s="23" t="s">
        <v>220</v>
      </c>
      <c r="C2" s="23" t="s">
        <v>297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38.63"/>
  </cols>
  <sheetData>
    <row r="2">
      <c r="A2" s="23">
        <v>1.0</v>
      </c>
      <c r="B2" s="23" t="s">
        <v>220</v>
      </c>
      <c r="C2" s="23" t="s">
        <v>297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135.63"/>
  </cols>
  <sheetData>
    <row r="2">
      <c r="B2" s="23" t="s">
        <v>298</v>
      </c>
      <c r="C2" s="23" t="s">
        <v>299</v>
      </c>
    </row>
    <row r="3">
      <c r="B3" s="23" t="s">
        <v>300</v>
      </c>
      <c r="C3" s="23" t="s">
        <v>301</v>
      </c>
    </row>
    <row r="4">
      <c r="B4" s="23" t="s">
        <v>257</v>
      </c>
      <c r="C4" s="23" t="s">
        <v>302</v>
      </c>
    </row>
    <row r="5">
      <c r="B5" s="23" t="s">
        <v>260</v>
      </c>
      <c r="C5" s="23" t="s">
        <v>303</v>
      </c>
    </row>
    <row r="6">
      <c r="B6" s="23" t="s">
        <v>304</v>
      </c>
      <c r="C6" s="23" t="s">
        <v>305</v>
      </c>
    </row>
    <row r="7">
      <c r="B7" s="23" t="s">
        <v>247</v>
      </c>
      <c r="C7" s="23" t="s">
        <v>306</v>
      </c>
    </row>
    <row r="8">
      <c r="B8" s="23" t="s">
        <v>307</v>
      </c>
      <c r="C8" s="23" t="s">
        <v>308</v>
      </c>
    </row>
    <row r="9">
      <c r="B9" s="23" t="s">
        <v>250</v>
      </c>
      <c r="C9" s="23" t="s">
        <v>309</v>
      </c>
    </row>
    <row r="10">
      <c r="B10" s="23" t="s">
        <v>272</v>
      </c>
      <c r="C10" s="23" t="s">
        <v>310</v>
      </c>
    </row>
    <row r="11">
      <c r="B11" s="23" t="s">
        <v>212</v>
      </c>
      <c r="C11" s="23" t="s">
        <v>311</v>
      </c>
    </row>
    <row r="12">
      <c r="B12" s="23" t="s">
        <v>273</v>
      </c>
    </row>
  </sheetData>
  <drawing r:id="rId1"/>
</worksheet>
</file>